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AUM_Rollforward" sheetId="4" state="visible" r:id="rId4"/>
    <sheet xmlns:r="http://schemas.openxmlformats.org/officeDocument/2006/relationships" name="Revenue" sheetId="5" state="visible" r:id="rId5"/>
    <sheet xmlns:r="http://schemas.openxmlformats.org/officeDocument/2006/relationships" name="Expenses" sheetId="6" state="visible" r:id="rId6"/>
    <sheet xmlns:r="http://schemas.openxmlformats.org/officeDocument/2006/relationships" name="PnL" sheetId="7" state="visible" r:id="rId7"/>
    <sheet xmlns:r="http://schemas.openxmlformats.org/officeDocument/2006/relationships" name="Budget_Variance" sheetId="8" state="visible" r:id="rId8"/>
    <sheet xmlns:r="http://schemas.openxmlformats.org/officeDocument/2006/relationships" name="Profitability" sheetId="9" state="visible" r:id="rId9"/>
    <sheet xmlns:r="http://schemas.openxmlformats.org/officeDocument/2006/relationships" name="Mandate_Pricing" sheetId="10" state="visible" r:id="rId10"/>
    <sheet xmlns:r="http://schemas.openxmlformats.org/officeDocument/2006/relationships" name="Growth_Case" sheetId="11" state="visible" r:id="rId11"/>
    <sheet xmlns:r="http://schemas.openxmlformats.org/officeDocument/2006/relationships" name="Sensitivity" sheetId="12" state="visible" r:id="rId12"/>
    <sheet xmlns:r="http://schemas.openxmlformats.org/officeDocument/2006/relationships" name="Benchmarks" sheetId="13" state="visible" r:id="rId13"/>
    <sheet xmlns:r="http://schemas.openxmlformats.org/officeDocument/2006/relationships" name="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.0"/>
    <numFmt numFmtId="165" formatCode="0.0%"/>
    <numFmt numFmtId="166" formatCode="0.0000%"/>
    <numFmt numFmtId="167" formatCode="0.000000%"/>
    <numFmt numFmtId="168" formatCode="0.0000"/>
    <numFmt numFmtId="169" formatCode="#,##0.000"/>
    <numFmt numFmtId="170" formatCode="0.0"/>
    <numFmt numFmtId="171" formatCode="0.000"/>
    <numFmt numFmtId="172" formatCode="0.000000"/>
  </numFmts>
  <fonts count="10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  <font>
      <color rgb="00000000"/>
    </font>
    <font>
      <color rgb="000000FF"/>
    </font>
    <font>
      <b val="1"/>
      <color rgb="000000FF"/>
    </font>
    <font>
      <b val="1"/>
    </font>
    <font>
      <color rgb="00006100"/>
    </font>
    <font>
      <b val="1"/>
      <color rgb="0000610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4" fillId="0" borderId="0" pivotButton="0" quotePrefix="0" xfId="0"/>
    <xf numFmtId="3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0" fontId="4" fillId="0" borderId="0" pivotButton="0" quotePrefix="0" xfId="0"/>
    <xf numFmtId="3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9" fontId="4" fillId="0" borderId="0" pivotButton="0" quotePrefix="0" xfId="0"/>
    <xf numFmtId="10" fontId="4" fillId="0" borderId="0" pivotButton="0" quotePrefix="0" xfId="0"/>
    <xf numFmtId="164" fontId="3" fillId="0" borderId="0" pivotButton="0" quotePrefix="0" xfId="0"/>
    <xf numFmtId="10" fontId="3" fillId="0" borderId="0" pivotButton="0" quotePrefix="0" xfId="0"/>
    <xf numFmtId="0" fontId="5" fillId="0" borderId="0" pivotButton="0" quotePrefix="0" xfId="0"/>
    <xf numFmtId="165" fontId="3" fillId="0" borderId="0" pivotButton="0" quotePrefix="0" xfId="0"/>
    <xf numFmtId="2" fontId="3" fillId="0" borderId="0" pivotButton="0" quotePrefix="0" xfId="0"/>
    <xf numFmtId="0" fontId="6" fillId="0" borderId="0" applyAlignment="1" pivotButton="0" quotePrefix="0" xfId="0">
      <alignment horizontal="center"/>
    </xf>
    <xf numFmtId="0" fontId="6" fillId="3" borderId="0" pivotButton="0" quotePrefix="0" xfId="0"/>
    <xf numFmtId="0" fontId="0" fillId="3" borderId="0" pivotButton="0" quotePrefix="0" xfId="0"/>
    <xf numFmtId="10" fontId="7" fillId="0" borderId="0" pivotButton="0" quotePrefix="0" xfId="0"/>
    <xf numFmtId="3" fontId="7" fillId="0" borderId="0" pivotButton="0" quotePrefix="0" xfId="0"/>
    <xf numFmtId="166" fontId="7" fillId="0" borderId="0" pivotButton="0" quotePrefix="0" xfId="0"/>
    <xf numFmtId="9" fontId="7" fillId="0" borderId="0" pivotButton="0" quotePrefix="0" xfId="0"/>
    <xf numFmtId="164" fontId="7" fillId="0" borderId="0" pivotButton="0" quotePrefix="0" xfId="0"/>
    <xf numFmtId="4" fontId="3" fillId="0" borderId="0" pivotButton="0" quotePrefix="0" xfId="0"/>
    <xf numFmtId="4" fontId="4" fillId="0" borderId="0" pivotButton="0" quotePrefix="0" xfId="0"/>
    <xf numFmtId="168" fontId="4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4" fillId="0" borderId="0" pivotButton="0" quotePrefix="0" xfId="0"/>
    <xf numFmtId="170" fontId="3" fillId="0" borderId="0" pivotButton="0" quotePrefix="0" xfId="0"/>
    <xf numFmtId="171" fontId="3" fillId="0" borderId="0" pivotButton="0" quotePrefix="0" xfId="0"/>
    <xf numFmtId="1" fontId="3" fillId="0" borderId="0" pivotButton="0" quotePrefix="0" xfId="0"/>
    <xf numFmtId="9" fontId="3" fillId="0" borderId="0" pivotButton="0" quotePrefix="0" xfId="0"/>
    <xf numFmtId="165" fontId="7" fillId="0" borderId="0" pivotButton="0" quotePrefix="0" xfId="0"/>
    <xf numFmtId="9" fontId="4" fillId="2" borderId="0" applyAlignment="1" pivotButton="0" quotePrefix="0" xfId="0">
      <alignment horizontal="center"/>
    </xf>
    <xf numFmtId="172" fontId="7" fillId="0" borderId="0" pivotButton="0" quotePrefix="0" xfId="0"/>
    <xf numFmtId="17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AssetLens - Asset &amp; Wealth Management P&amp;L, profitability and pricing model</t>
        </is>
      </c>
    </row>
    <row r="3">
      <c r="A3" s="2" t="inlineStr">
        <is>
          <t>Version</t>
        </is>
      </c>
      <c r="B3" s="2" t="inlineStr">
        <is>
          <t>1.0 (Phase 1) - built 2026-10-21</t>
        </is>
      </c>
    </row>
    <row r="4">
      <c r="A4" s="2" t="inlineStr">
        <is>
          <t>Master check</t>
        </is>
      </c>
      <c r="B4" s="3">
        <f>IF(Checks!B19&lt;0.001,"ALL CHECKS PASS","CHECK FAILURE - see Checks sheet")</f>
        <v/>
      </c>
    </row>
    <row r="5">
      <c r="A5" s="2" t="inlineStr">
        <is>
          <t>Scenario</t>
        </is>
      </c>
      <c r="B5" s="4">
        <f>Scenarios!B2</f>
        <v/>
      </c>
    </row>
    <row r="7" ht="48" customHeight="1">
      <c r="A7" s="2" t="inlineStr">
        <is>
          <t>Purpose</t>
        </is>
      </c>
      <c r="B7" s="5" t="inlineStr">
        <is>
          <t>Driver-based 8-quarter P&amp;L forecast of the GS AWM segment under bull/base/bear/stress scenarios, with budget variance, fully allocated profitability, mandate pricing and a GCC expansion case.</t>
        </is>
      </c>
    </row>
    <row r="8">
      <c r="A8" s="2" t="inlineStr">
        <is>
          <t>Colour code</t>
        </is>
      </c>
      <c r="B8" s="2" t="inlineStr">
        <is>
          <t>Blue = input / pasted data; black = formula; green = link to another sheet.</t>
        </is>
      </c>
    </row>
    <row r="9" ht="48" customHeight="1">
      <c r="A9" s="2" t="inlineStr">
        <is>
          <t>Sheets</t>
        </is>
      </c>
      <c r="B9" s="5" t="inlineStr">
        <is>
          <t>Inputs · Scenarios · AUM_Rollforward · Revenue · Expenses · PnL · Budget_Variance · Profitability · Mandate_Pricing · Growth_Case · Sensitivity · Benchmarks · Checks</t>
        </is>
      </c>
    </row>
    <row r="10">
      <c r="A10" s="2" t="inlineStr">
        <is>
          <t>Sign convention</t>
        </is>
      </c>
      <c r="B10" s="2" t="inlineStr">
        <is>
          <t>Revenues positive; costs shown positive in Expenses and subtracted in PnL; $ millions unless stated.</t>
        </is>
      </c>
    </row>
    <row r="12" ht="120" customHeight="1">
      <c r="A12" s="6" t="inlineStr">
        <is>
          <t>Disclaimer</t>
        </is>
      </c>
      <c r="B12" s="5" t="inlineStr">
        <is>
          <t>AssetLens is an independent educational project built from publicly available SEC filings and FRED data. It is not affiliated with, endorsed by, or based on any non-public information from Goldman Sachs or any other company named. Business-unit, headcount, advisor, expense and compensation data are synthetic, generated to be consistent with public segment totals, and do not represent any company's internal figures. Nothing here is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6" t="inlineStr">
        <is>
          <t>Inputs - public base data and modelling assumptions ($ millions unless stated)</t>
        </is>
      </c>
    </row>
    <row r="3">
      <c r="A3" s="7" t="inlineStr">
        <is>
          <t>Item</t>
        </is>
      </c>
      <c r="B3" s="7" t="inlineStr">
        <is>
          <t>Value</t>
        </is>
      </c>
      <c r="C3" s="7" t="inlineStr">
        <is>
          <t>Unit</t>
        </is>
      </c>
      <c r="D3" s="7" t="inlineStr">
        <is>
          <t>Source / note</t>
        </is>
      </c>
    </row>
    <row r="4">
      <c r="A4" s="2" t="inlineStr">
        <is>
          <t>Base-quarter management &amp; other fees (Q3-26)</t>
        </is>
      </c>
      <c r="B4" s="8" t="n">
        <v>3587</v>
      </c>
      <c r="C4" s="2" t="inlineStr">
        <is>
          <t>$m</t>
        </is>
      </c>
      <c r="D4" s="2" t="inlineStr">
        <is>
          <t>GS 8-K Ex.99.1 3Q26 (public)</t>
        </is>
      </c>
    </row>
    <row r="5">
      <c r="A5" s="2" t="inlineStr">
        <is>
          <t>Base private banking &amp; lending revenue (Q3-26)</t>
        </is>
      </c>
      <c r="B5" s="8" t="n">
        <v>827</v>
      </c>
      <c r="C5" s="2" t="inlineStr">
        <is>
          <t>$m</t>
        </is>
      </c>
      <c r="D5" s="2" t="inlineStr">
        <is>
          <t>GS 8-K Ex.99.1 3Q26 (public)</t>
        </is>
      </c>
    </row>
    <row r="6">
      <c r="A6" s="2" t="inlineStr">
        <is>
          <t>Investments revenue - average of last 8 quarters</t>
        </is>
      </c>
      <c r="B6" s="8" t="n">
        <v>405.25</v>
      </c>
      <c r="C6" s="2" t="inlineStr">
        <is>
          <t>$m</t>
        </is>
      </c>
      <c r="D6" s="2" t="inlineStr">
        <is>
          <t>GS 10-Q/10-K AWM table (public)</t>
        </is>
      </c>
    </row>
    <row r="7">
      <c r="A7" s="2" t="inlineStr">
        <is>
          <t>Incentive fees - trailing four quarters</t>
        </is>
      </c>
      <c r="B7" s="8" t="n">
        <v>1063</v>
      </c>
      <c r="C7" s="2" t="inlineStr">
        <is>
          <t>$m</t>
        </is>
      </c>
      <c r="D7" s="2" t="inlineStr">
        <is>
          <t>GS 10-Q/10-K (public)</t>
        </is>
      </c>
    </row>
    <row r="8">
      <c r="A8" s="2" t="inlineStr">
        <is>
          <t>Average alternatives AUS - trailing four quarters</t>
        </is>
      </c>
      <c r="B8" s="8" t="n">
        <v>435125</v>
      </c>
      <c r="C8" s="2" t="inlineStr">
        <is>
          <t>$m</t>
        </is>
      </c>
      <c r="D8" s="2" t="inlineStr">
        <is>
          <t>GS (public)</t>
        </is>
      </c>
    </row>
    <row r="9">
      <c r="A9" s="2" t="inlineStr">
        <is>
          <t>Provision for credit losses - avg last 4 full-P&amp;L quarters</t>
        </is>
      </c>
      <c r="B9" s="8" t="n">
        <v>16.25</v>
      </c>
      <c r="C9" s="2" t="inlineStr">
        <is>
          <t>$m</t>
        </is>
      </c>
      <c r="D9" s="2" t="inlineStr">
        <is>
          <t>GS (public)</t>
        </is>
      </c>
    </row>
    <row r="10">
      <c r="A10" s="2" t="inlineStr">
        <is>
          <t>Operating expenses - avg last 4 full-P&amp;L quarters</t>
        </is>
      </c>
      <c r="B10" s="8" t="n">
        <v>3324</v>
      </c>
      <c r="C10" s="2" t="inlineStr">
        <is>
          <t>$m</t>
        </is>
      </c>
      <c r="D10" s="2" t="inlineStr">
        <is>
          <t>GS (public)</t>
        </is>
      </c>
    </row>
    <row r="11">
      <c r="A11" s="2" t="inlineStr">
        <is>
          <t>Net revenues - avg last 4 full-P&amp;L quarters</t>
        </is>
      </c>
      <c r="B11" s="8" t="n">
        <v>4474.25</v>
      </c>
      <c r="C11" s="2" t="inlineStr">
        <is>
          <t>$m</t>
        </is>
      </c>
      <c r="D11" s="2" t="inlineStr">
        <is>
          <t>GS (public)</t>
        </is>
      </c>
    </row>
    <row r="12">
      <c r="A12" s="7" t="inlineStr">
        <is>
          <t>Asset class</t>
        </is>
      </c>
      <c r="B12" s="7" t="inlineStr">
        <is>
          <t>AUS prev (Q2-26) $m</t>
        </is>
      </c>
      <c r="C12" s="7" t="inlineStr">
        <is>
          <t>AUS base (Q3-26) $m</t>
        </is>
      </c>
      <c r="D12" s="7" t="inlineStr">
        <is>
          <t>Relative yield (x)</t>
        </is>
      </c>
      <c r="E12" s="7" t="inlineStr">
        <is>
          <t>Fee compression p.a.</t>
        </is>
      </c>
      <c r="F12" s="7" t="inlineStr">
        <is>
          <t>Equity beta</t>
        </is>
      </c>
      <c r="G12" s="7" t="inlineStr">
        <is>
          <t>Carry / qtr</t>
        </is>
      </c>
      <c r="H12" s="7" t="inlineStr">
        <is>
          <t>Bond-return link (1=yes)</t>
        </is>
      </c>
      <c r="I12" s="7" t="inlineStr">
        <is>
          <t>Average AUS $m</t>
        </is>
      </c>
      <c r="J12" s="7" t="inlineStr">
        <is>
          <t>Initial annual yield</t>
        </is>
      </c>
    </row>
    <row r="13">
      <c r="A13" s="2" t="inlineStr">
        <is>
          <t>alternatives</t>
        </is>
      </c>
      <c r="B13" s="9" t="n">
        <v>459000</v>
      </c>
      <c r="C13" s="9" t="n">
        <v>491000</v>
      </c>
      <c r="D13" s="10" t="n">
        <v>2.4</v>
      </c>
      <c r="E13" s="11" t="n">
        <v>0.02</v>
      </c>
      <c r="F13" s="10" t="n">
        <v>0.35</v>
      </c>
      <c r="G13" s="11" t="n">
        <v>0.01</v>
      </c>
      <c r="H13" s="12" t="n">
        <v>0</v>
      </c>
      <c r="I13" s="13">
        <f>(B13+C13)/2</f>
        <v/>
      </c>
      <c r="J13" s="14">
        <f>$B$18*D13</f>
        <v/>
      </c>
    </row>
    <row r="14">
      <c r="A14" s="2" t="inlineStr">
        <is>
          <t>equity</t>
        </is>
      </c>
      <c r="B14" s="9" t="n">
        <v>1123000</v>
      </c>
      <c r="C14" s="9" t="n">
        <v>1150000</v>
      </c>
      <c r="D14" s="10" t="n">
        <v>1</v>
      </c>
      <c r="E14" s="11" t="n">
        <v>0.03</v>
      </c>
      <c r="F14" s="10" t="n">
        <v>1</v>
      </c>
      <c r="G14" s="11" t="n">
        <v>0</v>
      </c>
      <c r="H14" s="12" t="n">
        <v>0</v>
      </c>
      <c r="I14" s="13">
        <f>(B14+C14)/2</f>
        <v/>
      </c>
      <c r="J14" s="14">
        <f>$B$18*D14</f>
        <v/>
      </c>
    </row>
    <row r="15">
      <c r="A15" s="2" t="inlineStr">
        <is>
          <t>fixed_income</t>
        </is>
      </c>
      <c r="B15" s="9" t="n">
        <v>1394000</v>
      </c>
      <c r="C15" s="9" t="n">
        <v>1405000</v>
      </c>
      <c r="D15" s="10" t="n">
        <v>0.55</v>
      </c>
      <c r="E15" s="11" t="n">
        <v>0.025</v>
      </c>
      <c r="F15" s="10" t="n">
        <v>0</v>
      </c>
      <c r="G15" s="11" t="n">
        <v>0</v>
      </c>
      <c r="H15" s="12" t="n">
        <v>1</v>
      </c>
      <c r="I15" s="13">
        <f>(B15+C15)/2</f>
        <v/>
      </c>
      <c r="J15" s="14">
        <f>$B$18*D15</f>
        <v/>
      </c>
    </row>
    <row r="16">
      <c r="A16" s="2" t="inlineStr">
        <is>
          <t>liquidity</t>
        </is>
      </c>
      <c r="B16" s="9" t="n">
        <v>1065000</v>
      </c>
      <c r="C16" s="9" t="n">
        <v>1051000</v>
      </c>
      <c r="D16" s="10" t="n">
        <v>0.12</v>
      </c>
      <c r="E16" s="11" t="n">
        <v>0.01</v>
      </c>
      <c r="F16" s="10" t="n">
        <v>0</v>
      </c>
      <c r="G16" s="11" t="n">
        <v>0</v>
      </c>
      <c r="H16" s="12" t="n">
        <v>0</v>
      </c>
      <c r="I16" s="13">
        <f>(B16+C16)/2</f>
        <v/>
      </c>
      <c r="J16" s="14">
        <f>$B$18*D16</f>
        <v/>
      </c>
    </row>
    <row r="18">
      <c r="A18" s="2" t="inlineStr">
        <is>
          <t>Fee-yield scale s (calibrates base fees)</t>
        </is>
      </c>
      <c r="B18" s="15">
        <f>B4*4/SUMPRODUCT(D13:D16,I13:I16)</f>
        <v/>
      </c>
    </row>
    <row r="19">
      <c r="A19" s="2" t="inlineStr">
        <is>
          <t>Compensation ratio target</t>
        </is>
      </c>
      <c r="B19" s="11" t="n">
        <v>0.446</v>
      </c>
      <c r="D19" s="2" t="inlineStr">
        <is>
          <t>GS FY2025 AWM segment comp / net revenues (public)</t>
        </is>
      </c>
    </row>
    <row r="20">
      <c r="A20" s="2" t="inlineStr">
        <is>
          <t>Comp fixed floor (share of base comp)</t>
        </is>
      </c>
      <c r="B20" s="16" t="n">
        <v>0.85</v>
      </c>
    </row>
    <row r="21">
      <c r="A21" s="2" t="inlineStr">
        <is>
          <t>Variable non-comp (% of net revenue)</t>
        </is>
      </c>
      <c r="B21" s="11" t="n">
        <v>0.1</v>
      </c>
    </row>
    <row r="22">
      <c r="A22" s="2" t="inlineStr">
        <is>
          <t>Cost inflation p.a.</t>
        </is>
      </c>
      <c r="B22" s="11" t="n">
        <v>0.03</v>
      </c>
    </row>
    <row r="23">
      <c r="A23" s="2" t="inlineStr">
        <is>
          <t>PBL base net interest margin</t>
        </is>
      </c>
      <c r="B23" s="17" t="n">
        <v>0.025</v>
      </c>
    </row>
    <row r="24">
      <c r="A24" s="2" t="inlineStr">
        <is>
          <t>PBL margin beta to short rate</t>
        </is>
      </c>
      <c r="B24" s="10" t="n">
        <v>0.35</v>
      </c>
    </row>
    <row r="25">
      <c r="A25" s="2" t="inlineStr">
        <is>
          <t>PBL loan growth p.a.</t>
        </is>
      </c>
      <c r="B25" s="11" t="n">
        <v>0.05</v>
      </c>
    </row>
    <row r="26">
      <c r="A26" s="2" t="inlineStr">
        <is>
          <t>Base short rate r0</t>
        </is>
      </c>
      <c r="B26" s="17" t="n">
        <v>0.0375</v>
      </c>
    </row>
    <row r="27">
      <c r="A27" s="2" t="inlineStr">
        <is>
          <t>Base-period compensation</t>
        </is>
      </c>
      <c r="B27" s="18">
        <f>B19*B11</f>
        <v/>
      </c>
    </row>
    <row r="28">
      <c r="A28" s="2" t="inlineStr">
        <is>
          <t>Compensation fixed floor ($m / qtr)</t>
        </is>
      </c>
      <c r="B28" s="18">
        <f>B20*B27</f>
        <v/>
      </c>
      <c r="D28" s="2" t="inlineStr">
        <is>
          <t>Formula</t>
        </is>
      </c>
    </row>
    <row r="29">
      <c r="A29" s="2" t="inlineStr">
        <is>
          <t>Fixed non-comp ($m / qtr)</t>
        </is>
      </c>
      <c r="B29" s="18">
        <f>(B10-B27)-B21*B11</f>
        <v/>
      </c>
    </row>
    <row r="30">
      <c r="A30" s="2" t="inlineStr">
        <is>
          <t>Incentive rate (annual, on avg alternatives AUS)</t>
        </is>
      </c>
      <c r="B30" s="19">
        <f>B7/B8</f>
        <v/>
      </c>
    </row>
    <row r="31">
      <c r="A31" s="2" t="inlineStr">
        <is>
          <t>Incentive seasonality Q1</t>
        </is>
      </c>
      <c r="B31" s="16" t="n">
        <v>0.2</v>
      </c>
    </row>
    <row r="32">
      <c r="A32" s="2" t="inlineStr">
        <is>
          <t>Incentive seasonality Q2</t>
        </is>
      </c>
      <c r="B32" s="16" t="n">
        <v>0.2</v>
      </c>
    </row>
    <row r="33">
      <c r="A33" s="2" t="inlineStr">
        <is>
          <t>Incentive seasonality Q3</t>
        </is>
      </c>
      <c r="B33" s="16" t="n">
        <v>0.22</v>
      </c>
    </row>
    <row r="34">
      <c r="A34" s="2" t="inlineStr">
        <is>
          <t>Incentive seasonality Q4</t>
        </is>
      </c>
      <c r="B34" s="16" t="n">
        <v>0.38</v>
      </c>
    </row>
    <row r="35">
      <c r="A35" s="2" t="inlineStr">
        <is>
          <t>Quarter number of base quarter (Q3-26 = 3)</t>
        </is>
      </c>
      <c r="B35" s="1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6" t="inlineStr">
        <is>
          <t>Scenario selector - drives every sheet</t>
        </is>
      </c>
    </row>
    <row r="2">
      <c r="A2" s="2" t="inlineStr">
        <is>
          <t>Selected scenario</t>
        </is>
      </c>
      <c r="B2" s="20" t="inlineStr">
        <is>
          <t>base</t>
        </is>
      </c>
    </row>
    <row r="4">
      <c r="A4" s="7" t="inlineStr">
        <is>
          <t>Selected path</t>
        </is>
      </c>
      <c r="B4" s="7" t="inlineStr"/>
      <c r="C4" s="7" t="inlineStr">
        <is>
          <t>t1</t>
        </is>
      </c>
      <c r="D4" s="7" t="inlineStr">
        <is>
          <t>t2</t>
        </is>
      </c>
      <c r="E4" s="7" t="inlineStr">
        <is>
          <t>t3</t>
        </is>
      </c>
      <c r="F4" s="7" t="inlineStr">
        <is>
          <t>t4</t>
        </is>
      </c>
      <c r="G4" s="7" t="inlineStr">
        <is>
          <t>t5</t>
        </is>
      </c>
      <c r="H4" s="7" t="inlineStr">
        <is>
          <t>t6</t>
        </is>
      </c>
      <c r="I4" s="7" t="inlineStr">
        <is>
          <t>t7</t>
        </is>
      </c>
      <c r="J4" s="7" t="inlineStr">
        <is>
          <t>t8</t>
        </is>
      </c>
    </row>
    <row r="5">
      <c r="A5" s="2" t="inlineStr">
        <is>
          <t>equity_ret_q</t>
        </is>
      </c>
      <c r="C5" s="21">
        <f>INDEX(C$20:C$59,MATCH($B$2&amp;"|"&amp;$A5,$L$20:$L$59,0))</f>
        <v/>
      </c>
      <c r="D5" s="21">
        <f>INDEX(D$20:D$59,MATCH($B$2&amp;"|"&amp;$A5,$L$20:$L$59,0))</f>
        <v/>
      </c>
      <c r="E5" s="21">
        <f>INDEX(E$20:E$59,MATCH($B$2&amp;"|"&amp;$A5,$L$20:$L$59,0))</f>
        <v/>
      </c>
      <c r="F5" s="21">
        <f>INDEX(F$20:F$59,MATCH($B$2&amp;"|"&amp;$A5,$L$20:$L$59,0))</f>
        <v/>
      </c>
      <c r="G5" s="21">
        <f>INDEX(G$20:G$59,MATCH($B$2&amp;"|"&amp;$A5,$L$20:$L$59,0))</f>
        <v/>
      </c>
      <c r="H5" s="21">
        <f>INDEX(H$20:H$59,MATCH($B$2&amp;"|"&amp;$A5,$L$20:$L$59,0))</f>
        <v/>
      </c>
      <c r="I5" s="21">
        <f>INDEX(I$20:I$59,MATCH($B$2&amp;"|"&amp;$A5,$L$20:$L$59,0))</f>
        <v/>
      </c>
      <c r="J5" s="21">
        <f>INDEX(J$20:J$59,MATCH($B$2&amp;"|"&amp;$A5,$L$20:$L$59,0))</f>
        <v/>
      </c>
    </row>
    <row r="6">
      <c r="A6" s="2" t="inlineStr">
        <is>
          <t>bond_ret_q</t>
        </is>
      </c>
      <c r="C6" s="21">
        <f>INDEX(C$20:C$59,MATCH($B$2&amp;"|"&amp;$A6,$L$20:$L$59,0))</f>
        <v/>
      </c>
      <c r="D6" s="21">
        <f>INDEX(D$20:D$59,MATCH($B$2&amp;"|"&amp;$A6,$L$20:$L$59,0))</f>
        <v/>
      </c>
      <c r="E6" s="21">
        <f>INDEX(E$20:E$59,MATCH($B$2&amp;"|"&amp;$A6,$L$20:$L$59,0))</f>
        <v/>
      </c>
      <c r="F6" s="21">
        <f>INDEX(F$20:F$59,MATCH($B$2&amp;"|"&amp;$A6,$L$20:$L$59,0))</f>
        <v/>
      </c>
      <c r="G6" s="21">
        <f>INDEX(G$20:G$59,MATCH($B$2&amp;"|"&amp;$A6,$L$20:$L$59,0))</f>
        <v/>
      </c>
      <c r="H6" s="21">
        <f>INDEX(H$20:H$59,MATCH($B$2&amp;"|"&amp;$A6,$L$20:$L$59,0))</f>
        <v/>
      </c>
      <c r="I6" s="21">
        <f>INDEX(I$20:I$59,MATCH($B$2&amp;"|"&amp;$A6,$L$20:$L$59,0))</f>
        <v/>
      </c>
      <c r="J6" s="21">
        <f>INDEX(J$20:J$59,MATCH($B$2&amp;"|"&amp;$A6,$L$20:$L$59,0))</f>
        <v/>
      </c>
    </row>
    <row r="7">
      <c r="A7" s="2" t="inlineStr">
        <is>
          <t>short_rate</t>
        </is>
      </c>
      <c r="C7" s="21">
        <f>INDEX(C$20:C$59,MATCH($B$2&amp;"|"&amp;$A7,$L$20:$L$59,0))</f>
        <v/>
      </c>
      <c r="D7" s="21">
        <f>INDEX(D$20:D$59,MATCH($B$2&amp;"|"&amp;$A7,$L$20:$L$59,0))</f>
        <v/>
      </c>
      <c r="E7" s="21">
        <f>INDEX(E$20:E$59,MATCH($B$2&amp;"|"&amp;$A7,$L$20:$L$59,0))</f>
        <v/>
      </c>
      <c r="F7" s="21">
        <f>INDEX(F$20:F$59,MATCH($B$2&amp;"|"&amp;$A7,$L$20:$L$59,0))</f>
        <v/>
      </c>
      <c r="G7" s="21">
        <f>INDEX(G$20:G$59,MATCH($B$2&amp;"|"&amp;$A7,$L$20:$L$59,0))</f>
        <v/>
      </c>
      <c r="H7" s="21">
        <f>INDEX(H$20:H$59,MATCH($B$2&amp;"|"&amp;$A7,$L$20:$L$59,0))</f>
        <v/>
      </c>
      <c r="I7" s="21">
        <f>INDEX(I$20:I$59,MATCH($B$2&amp;"|"&amp;$A7,$L$20:$L$59,0))</f>
        <v/>
      </c>
      <c r="J7" s="21">
        <f>INDEX(J$20:J$59,MATCH($B$2&amp;"|"&amp;$A7,$L$20:$L$59,0))</f>
        <v/>
      </c>
    </row>
    <row r="8">
      <c r="A8" s="2" t="inlineStr">
        <is>
          <t>org_alternatives</t>
        </is>
      </c>
      <c r="C8" s="21">
        <f>INDEX(C$20:C$59,MATCH($B$2&amp;"|"&amp;$A8,$L$20:$L$59,0))</f>
        <v/>
      </c>
      <c r="D8" s="21">
        <f>INDEX(D$20:D$59,MATCH($B$2&amp;"|"&amp;$A8,$L$20:$L$59,0))</f>
        <v/>
      </c>
      <c r="E8" s="21">
        <f>INDEX(E$20:E$59,MATCH($B$2&amp;"|"&amp;$A8,$L$20:$L$59,0))</f>
        <v/>
      </c>
      <c r="F8" s="21">
        <f>INDEX(F$20:F$59,MATCH($B$2&amp;"|"&amp;$A8,$L$20:$L$59,0))</f>
        <v/>
      </c>
      <c r="G8" s="21">
        <f>INDEX(G$20:G$59,MATCH($B$2&amp;"|"&amp;$A8,$L$20:$L$59,0))</f>
        <v/>
      </c>
      <c r="H8" s="21">
        <f>INDEX(H$20:H$59,MATCH($B$2&amp;"|"&amp;$A8,$L$20:$L$59,0))</f>
        <v/>
      </c>
      <c r="I8" s="21">
        <f>INDEX(I$20:I$59,MATCH($B$2&amp;"|"&amp;$A8,$L$20:$L$59,0))</f>
        <v/>
      </c>
      <c r="J8" s="21">
        <f>INDEX(J$20:J$59,MATCH($B$2&amp;"|"&amp;$A8,$L$20:$L$59,0))</f>
        <v/>
      </c>
    </row>
    <row r="9">
      <c r="A9" s="2" t="inlineStr">
        <is>
          <t>org_equity</t>
        </is>
      </c>
      <c r="C9" s="21">
        <f>INDEX(C$20:C$59,MATCH($B$2&amp;"|"&amp;$A9,$L$20:$L$59,0))</f>
        <v/>
      </c>
      <c r="D9" s="21">
        <f>INDEX(D$20:D$59,MATCH($B$2&amp;"|"&amp;$A9,$L$20:$L$59,0))</f>
        <v/>
      </c>
      <c r="E9" s="21">
        <f>INDEX(E$20:E$59,MATCH($B$2&amp;"|"&amp;$A9,$L$20:$L$59,0))</f>
        <v/>
      </c>
      <c r="F9" s="21">
        <f>INDEX(F$20:F$59,MATCH($B$2&amp;"|"&amp;$A9,$L$20:$L$59,0))</f>
        <v/>
      </c>
      <c r="G9" s="21">
        <f>INDEX(G$20:G$59,MATCH($B$2&amp;"|"&amp;$A9,$L$20:$L$59,0))</f>
        <v/>
      </c>
      <c r="H9" s="21">
        <f>INDEX(H$20:H$59,MATCH($B$2&amp;"|"&amp;$A9,$L$20:$L$59,0))</f>
        <v/>
      </c>
      <c r="I9" s="21">
        <f>INDEX(I$20:I$59,MATCH($B$2&amp;"|"&amp;$A9,$L$20:$L$59,0))</f>
        <v/>
      </c>
      <c r="J9" s="21">
        <f>INDEX(J$20:J$59,MATCH($B$2&amp;"|"&amp;$A9,$L$20:$L$59,0))</f>
        <v/>
      </c>
    </row>
    <row r="10">
      <c r="A10" s="2" t="inlineStr">
        <is>
          <t>org_fixed_income</t>
        </is>
      </c>
      <c r="C10" s="21">
        <f>INDEX(C$20:C$59,MATCH($B$2&amp;"|"&amp;$A10,$L$20:$L$59,0))</f>
        <v/>
      </c>
      <c r="D10" s="21">
        <f>INDEX(D$20:D$59,MATCH($B$2&amp;"|"&amp;$A10,$L$20:$L$59,0))</f>
        <v/>
      </c>
      <c r="E10" s="21">
        <f>INDEX(E$20:E$59,MATCH($B$2&amp;"|"&amp;$A10,$L$20:$L$59,0))</f>
        <v/>
      </c>
      <c r="F10" s="21">
        <f>INDEX(F$20:F$59,MATCH($B$2&amp;"|"&amp;$A10,$L$20:$L$59,0))</f>
        <v/>
      </c>
      <c r="G10" s="21">
        <f>INDEX(G$20:G$59,MATCH($B$2&amp;"|"&amp;$A10,$L$20:$L$59,0))</f>
        <v/>
      </c>
      <c r="H10" s="21">
        <f>INDEX(H$20:H$59,MATCH($B$2&amp;"|"&amp;$A10,$L$20:$L$59,0))</f>
        <v/>
      </c>
      <c r="I10" s="21">
        <f>INDEX(I$20:I$59,MATCH($B$2&amp;"|"&amp;$A10,$L$20:$L$59,0))</f>
        <v/>
      </c>
      <c r="J10" s="21">
        <f>INDEX(J$20:J$59,MATCH($B$2&amp;"|"&amp;$A10,$L$20:$L$59,0))</f>
        <v/>
      </c>
    </row>
    <row r="11">
      <c r="A11" s="2" t="inlineStr">
        <is>
          <t>org_liquidity</t>
        </is>
      </c>
      <c r="C11" s="21">
        <f>INDEX(C$20:C$59,MATCH($B$2&amp;"|"&amp;$A11,$L$20:$L$59,0))</f>
        <v/>
      </c>
      <c r="D11" s="21">
        <f>INDEX(D$20:D$59,MATCH($B$2&amp;"|"&amp;$A11,$L$20:$L$59,0))</f>
        <v/>
      </c>
      <c r="E11" s="21">
        <f>INDEX(E$20:E$59,MATCH($B$2&amp;"|"&amp;$A11,$L$20:$L$59,0))</f>
        <v/>
      </c>
      <c r="F11" s="21">
        <f>INDEX(F$20:F$59,MATCH($B$2&amp;"|"&amp;$A11,$L$20:$L$59,0))</f>
        <v/>
      </c>
      <c r="G11" s="21">
        <f>INDEX(G$20:G$59,MATCH($B$2&amp;"|"&amp;$A11,$L$20:$L$59,0))</f>
        <v/>
      </c>
      <c r="H11" s="21">
        <f>INDEX(H$20:H$59,MATCH($B$2&amp;"|"&amp;$A11,$L$20:$L$59,0))</f>
        <v/>
      </c>
      <c r="I11" s="21">
        <f>INDEX(I$20:I$59,MATCH($B$2&amp;"|"&amp;$A11,$L$20:$L$59,0))</f>
        <v/>
      </c>
      <c r="J11" s="21">
        <f>INDEX(J$20:J$59,MATCH($B$2&amp;"|"&amp;$A11,$L$20:$L$59,0))</f>
        <v/>
      </c>
    </row>
    <row r="12">
      <c r="A12" s="2" t="inlineStr">
        <is>
          <t>incentive_mult</t>
        </is>
      </c>
      <c r="C12" s="22">
        <f>INDEX(C$20:C$59,MATCH($B$2&amp;"|"&amp;$A12,$L$20:$L$59,0))</f>
        <v/>
      </c>
      <c r="D12" s="22">
        <f>INDEX(D$20:D$59,MATCH($B$2&amp;"|"&amp;$A12,$L$20:$L$59,0))</f>
        <v/>
      </c>
      <c r="E12" s="22">
        <f>INDEX(E$20:E$59,MATCH($B$2&amp;"|"&amp;$A12,$L$20:$L$59,0))</f>
        <v/>
      </c>
      <c r="F12" s="22">
        <f>INDEX(F$20:F$59,MATCH($B$2&amp;"|"&amp;$A12,$L$20:$L$59,0))</f>
        <v/>
      </c>
      <c r="G12" s="22">
        <f>INDEX(G$20:G$59,MATCH($B$2&amp;"|"&amp;$A12,$L$20:$L$59,0))</f>
        <v/>
      </c>
      <c r="H12" s="22">
        <f>INDEX(H$20:H$59,MATCH($B$2&amp;"|"&amp;$A12,$L$20:$L$59,0))</f>
        <v/>
      </c>
      <c r="I12" s="22">
        <f>INDEX(I$20:I$59,MATCH($B$2&amp;"|"&amp;$A12,$L$20:$L$59,0))</f>
        <v/>
      </c>
      <c r="J12" s="22">
        <f>INDEX(J$20:J$59,MATCH($B$2&amp;"|"&amp;$A12,$L$20:$L$59,0))</f>
        <v/>
      </c>
    </row>
    <row r="13">
      <c r="A13" s="2" t="inlineStr">
        <is>
          <t>investments_mult</t>
        </is>
      </c>
      <c r="C13" s="22">
        <f>INDEX(C$20:C$59,MATCH($B$2&amp;"|"&amp;$A13,$L$20:$L$59,0))</f>
        <v/>
      </c>
      <c r="D13" s="22">
        <f>INDEX(D$20:D$59,MATCH($B$2&amp;"|"&amp;$A13,$L$20:$L$59,0))</f>
        <v/>
      </c>
      <c r="E13" s="22">
        <f>INDEX(E$20:E$59,MATCH($B$2&amp;"|"&amp;$A13,$L$20:$L$59,0))</f>
        <v/>
      </c>
      <c r="F13" s="22">
        <f>INDEX(F$20:F$59,MATCH($B$2&amp;"|"&amp;$A13,$L$20:$L$59,0))</f>
        <v/>
      </c>
      <c r="G13" s="22">
        <f>INDEX(G$20:G$59,MATCH($B$2&amp;"|"&amp;$A13,$L$20:$L$59,0))</f>
        <v/>
      </c>
      <c r="H13" s="22">
        <f>INDEX(H$20:H$59,MATCH($B$2&amp;"|"&amp;$A13,$L$20:$L$59,0))</f>
        <v/>
      </c>
      <c r="I13" s="22">
        <f>INDEX(I$20:I$59,MATCH($B$2&amp;"|"&amp;$A13,$L$20:$L$59,0))</f>
        <v/>
      </c>
      <c r="J13" s="22">
        <f>INDEX(J$20:J$59,MATCH($B$2&amp;"|"&amp;$A13,$L$20:$L$59,0))</f>
        <v/>
      </c>
    </row>
    <row r="14">
      <c r="A14" s="2" t="inlineStr">
        <is>
          <t>provision_mult</t>
        </is>
      </c>
      <c r="C14" s="22">
        <f>INDEX(C$20:C$59,MATCH($B$2&amp;"|"&amp;$A14,$L$20:$L$59,0))</f>
        <v/>
      </c>
      <c r="D14" s="22">
        <f>INDEX(D$20:D$59,MATCH($B$2&amp;"|"&amp;$A14,$L$20:$L$59,0))</f>
        <v/>
      </c>
      <c r="E14" s="22">
        <f>INDEX(E$20:E$59,MATCH($B$2&amp;"|"&amp;$A14,$L$20:$L$59,0))</f>
        <v/>
      </c>
      <c r="F14" s="22">
        <f>INDEX(F$20:F$59,MATCH($B$2&amp;"|"&amp;$A14,$L$20:$L$59,0))</f>
        <v/>
      </c>
      <c r="G14" s="22">
        <f>INDEX(G$20:G$59,MATCH($B$2&amp;"|"&amp;$A14,$L$20:$L$59,0))</f>
        <v/>
      </c>
      <c r="H14" s="22">
        <f>INDEX(H$20:H$59,MATCH($B$2&amp;"|"&amp;$A14,$L$20:$L$59,0))</f>
        <v/>
      </c>
      <c r="I14" s="22">
        <f>INDEX(I$20:I$59,MATCH($B$2&amp;"|"&amp;$A14,$L$20:$L$59,0))</f>
        <v/>
      </c>
      <c r="J14" s="22">
        <f>INDEX(J$20:J$59,MATCH($B$2&amp;"|"&amp;$A14,$L$20:$L$59,0))</f>
        <v/>
      </c>
    </row>
    <row r="19">
      <c r="A19" s="7" t="inlineStr">
        <is>
          <t>Scenario</t>
        </is>
      </c>
      <c r="B19" s="7" t="inlineStr">
        <is>
          <t>Parameter</t>
        </is>
      </c>
      <c r="C19" s="7" t="inlineStr">
        <is>
          <t>t1</t>
        </is>
      </c>
      <c r="D19" s="7" t="inlineStr">
        <is>
          <t>t2</t>
        </is>
      </c>
      <c r="E19" s="7" t="inlineStr">
        <is>
          <t>t3</t>
        </is>
      </c>
      <c r="F19" s="7" t="inlineStr">
        <is>
          <t>t4</t>
        </is>
      </c>
      <c r="G19" s="7" t="inlineStr">
        <is>
          <t>t5</t>
        </is>
      </c>
      <c r="H19" s="7" t="inlineStr">
        <is>
          <t>t6</t>
        </is>
      </c>
      <c r="I19" s="7" t="inlineStr">
        <is>
          <t>t7</t>
        </is>
      </c>
      <c r="J19" s="7" t="inlineStr">
        <is>
          <t>t8</t>
        </is>
      </c>
      <c r="K19" s="7" t="inlineStr"/>
      <c r="L19" s="7" t="inlineStr">
        <is>
          <t>key</t>
        </is>
      </c>
    </row>
    <row r="20">
      <c r="A20" s="2" t="inlineStr">
        <is>
          <t>base</t>
        </is>
      </c>
      <c r="B20" s="2" t="inlineStr">
        <is>
          <t>equity_ret_q</t>
        </is>
      </c>
      <c r="C20" s="11" t="n">
        <v>0.02</v>
      </c>
      <c r="D20" s="11" t="n">
        <v>0.02</v>
      </c>
      <c r="E20" s="11" t="n">
        <v>0.02</v>
      </c>
      <c r="F20" s="11" t="n">
        <v>0.02</v>
      </c>
      <c r="G20" s="11" t="n">
        <v>0.02</v>
      </c>
      <c r="H20" s="11" t="n">
        <v>0.02</v>
      </c>
      <c r="I20" s="11" t="n">
        <v>0.02</v>
      </c>
      <c r="J20" s="11" t="n">
        <v>0.02</v>
      </c>
      <c r="L20" s="2">
        <f>A20&amp;"|"&amp;B20</f>
        <v/>
      </c>
    </row>
    <row r="21">
      <c r="A21" s="2" t="inlineStr">
        <is>
          <t>base</t>
        </is>
      </c>
      <c r="B21" s="2" t="inlineStr">
        <is>
          <t>bond_ret_q</t>
        </is>
      </c>
      <c r="C21" s="11" t="n">
        <v>0.01</v>
      </c>
      <c r="D21" s="11" t="n">
        <v>0.01</v>
      </c>
      <c r="E21" s="11" t="n">
        <v>0.01</v>
      </c>
      <c r="F21" s="11" t="n">
        <v>0.01</v>
      </c>
      <c r="G21" s="11" t="n">
        <v>0.01</v>
      </c>
      <c r="H21" s="11" t="n">
        <v>0.01</v>
      </c>
      <c r="I21" s="11" t="n">
        <v>0.01</v>
      </c>
      <c r="J21" s="11" t="n">
        <v>0.01</v>
      </c>
      <c r="L21" s="2">
        <f>A21&amp;"|"&amp;B21</f>
        <v/>
      </c>
    </row>
    <row r="22">
      <c r="A22" s="2" t="inlineStr">
        <is>
          <t>base</t>
        </is>
      </c>
      <c r="B22" s="2" t="inlineStr">
        <is>
          <t>short_rate</t>
        </is>
      </c>
      <c r="C22" s="11" t="n">
        <v>0.0375</v>
      </c>
      <c r="D22" s="11" t="n">
        <v>0.035</v>
      </c>
      <c r="E22" s="11" t="n">
        <v>0.035</v>
      </c>
      <c r="F22" s="11" t="n">
        <v>0.035</v>
      </c>
      <c r="G22" s="11" t="n">
        <v>0.035</v>
      </c>
      <c r="H22" s="11" t="n">
        <v>0.035</v>
      </c>
      <c r="I22" s="11" t="n">
        <v>0.035</v>
      </c>
      <c r="J22" s="11" t="n">
        <v>0.035</v>
      </c>
      <c r="L22" s="2">
        <f>A22&amp;"|"&amp;B22</f>
        <v/>
      </c>
    </row>
    <row r="23">
      <c r="A23" s="2" t="inlineStr">
        <is>
          <t>base</t>
        </is>
      </c>
      <c r="B23" s="2" t="inlineStr">
        <is>
          <t>org_alternatives</t>
        </is>
      </c>
      <c r="C23" s="11" t="n">
        <v>0.06</v>
      </c>
      <c r="D23" s="11" t="n">
        <v>0.06</v>
      </c>
      <c r="E23" s="11" t="n">
        <v>0.06</v>
      </c>
      <c r="F23" s="11" t="n">
        <v>0.06</v>
      </c>
      <c r="G23" s="11" t="n">
        <v>0.06</v>
      </c>
      <c r="H23" s="11" t="n">
        <v>0.06</v>
      </c>
      <c r="I23" s="11" t="n">
        <v>0.06</v>
      </c>
      <c r="J23" s="11" t="n">
        <v>0.06</v>
      </c>
      <c r="L23" s="2">
        <f>A23&amp;"|"&amp;B23</f>
        <v/>
      </c>
    </row>
    <row r="24">
      <c r="A24" s="2" t="inlineStr">
        <is>
          <t>base</t>
        </is>
      </c>
      <c r="B24" s="2" t="inlineStr">
        <is>
          <t>org_equity</t>
        </is>
      </c>
      <c r="C24" s="11" t="n">
        <v>0.04</v>
      </c>
      <c r="D24" s="11" t="n">
        <v>0.04</v>
      </c>
      <c r="E24" s="11" t="n">
        <v>0.04</v>
      </c>
      <c r="F24" s="11" t="n">
        <v>0.04</v>
      </c>
      <c r="G24" s="11" t="n">
        <v>0.04</v>
      </c>
      <c r="H24" s="11" t="n">
        <v>0.04</v>
      </c>
      <c r="I24" s="11" t="n">
        <v>0.04</v>
      </c>
      <c r="J24" s="11" t="n">
        <v>0.04</v>
      </c>
      <c r="L24" s="2">
        <f>A24&amp;"|"&amp;B24</f>
        <v/>
      </c>
    </row>
    <row r="25">
      <c r="A25" s="2" t="inlineStr">
        <is>
          <t>base</t>
        </is>
      </c>
      <c r="B25" s="2" t="inlineStr">
        <is>
          <t>org_fixed_income</t>
        </is>
      </c>
      <c r="C25" s="11" t="n">
        <v>0.05</v>
      </c>
      <c r="D25" s="11" t="n">
        <v>0.05</v>
      </c>
      <c r="E25" s="11" t="n">
        <v>0.05</v>
      </c>
      <c r="F25" s="11" t="n">
        <v>0.05</v>
      </c>
      <c r="G25" s="11" t="n">
        <v>0.05</v>
      </c>
      <c r="H25" s="11" t="n">
        <v>0.05</v>
      </c>
      <c r="I25" s="11" t="n">
        <v>0.05</v>
      </c>
      <c r="J25" s="11" t="n">
        <v>0.05</v>
      </c>
      <c r="L25" s="2">
        <f>A25&amp;"|"&amp;B25</f>
        <v/>
      </c>
    </row>
    <row r="26">
      <c r="A26" s="2" t="inlineStr">
        <is>
          <t>base</t>
        </is>
      </c>
      <c r="B26" s="2" t="inlineStr">
        <is>
          <t>org_liquidity</t>
        </is>
      </c>
      <c r="C26" s="11" t="n">
        <v>0.03</v>
      </c>
      <c r="D26" s="11" t="n">
        <v>0.03</v>
      </c>
      <c r="E26" s="11" t="n">
        <v>0.03</v>
      </c>
      <c r="F26" s="11" t="n">
        <v>0.03</v>
      </c>
      <c r="G26" s="11" t="n">
        <v>0.03</v>
      </c>
      <c r="H26" s="11" t="n">
        <v>0.03</v>
      </c>
      <c r="I26" s="11" t="n">
        <v>0.03</v>
      </c>
      <c r="J26" s="11" t="n">
        <v>0.03</v>
      </c>
      <c r="L26" s="2">
        <f>A26&amp;"|"&amp;B26</f>
        <v/>
      </c>
    </row>
    <row r="27">
      <c r="A27" s="2" t="inlineStr">
        <is>
          <t>base</t>
        </is>
      </c>
      <c r="B27" s="2" t="inlineStr">
        <is>
          <t>incentive_mult</t>
        </is>
      </c>
      <c r="C27" s="10" t="n">
        <v>1</v>
      </c>
      <c r="D27" s="10" t="n">
        <v>1</v>
      </c>
      <c r="E27" s="10" t="n">
        <v>1</v>
      </c>
      <c r="F27" s="10" t="n">
        <v>1</v>
      </c>
      <c r="G27" s="10" t="n">
        <v>1</v>
      </c>
      <c r="H27" s="10" t="n">
        <v>1</v>
      </c>
      <c r="I27" s="10" t="n">
        <v>1</v>
      </c>
      <c r="J27" s="10" t="n">
        <v>1</v>
      </c>
      <c r="L27" s="2">
        <f>A27&amp;"|"&amp;B27</f>
        <v/>
      </c>
    </row>
    <row r="28">
      <c r="A28" s="2" t="inlineStr">
        <is>
          <t>base</t>
        </is>
      </c>
      <c r="B28" s="2" t="inlineStr">
        <is>
          <t>investments_mult</t>
        </is>
      </c>
      <c r="C28" s="10" t="n">
        <v>1</v>
      </c>
      <c r="D28" s="10" t="n">
        <v>1</v>
      </c>
      <c r="E28" s="10" t="n">
        <v>1</v>
      </c>
      <c r="F28" s="10" t="n">
        <v>1</v>
      </c>
      <c r="G28" s="10" t="n">
        <v>1</v>
      </c>
      <c r="H28" s="10" t="n">
        <v>1</v>
      </c>
      <c r="I28" s="10" t="n">
        <v>1</v>
      </c>
      <c r="J28" s="10" t="n">
        <v>1</v>
      </c>
      <c r="L28" s="2">
        <f>A28&amp;"|"&amp;B28</f>
        <v/>
      </c>
    </row>
    <row r="29">
      <c r="A29" s="2" t="inlineStr">
        <is>
          <t>base</t>
        </is>
      </c>
      <c r="B29" s="2" t="inlineStr">
        <is>
          <t>provision_mult</t>
        </is>
      </c>
      <c r="C29" s="10" t="n">
        <v>1</v>
      </c>
      <c r="D29" s="10" t="n">
        <v>1</v>
      </c>
      <c r="E29" s="10" t="n">
        <v>1</v>
      </c>
      <c r="F29" s="10" t="n">
        <v>1</v>
      </c>
      <c r="G29" s="10" t="n">
        <v>1</v>
      </c>
      <c r="H29" s="10" t="n">
        <v>1</v>
      </c>
      <c r="I29" s="10" t="n">
        <v>1</v>
      </c>
      <c r="J29" s="10" t="n">
        <v>1</v>
      </c>
      <c r="L29" s="2">
        <f>A29&amp;"|"&amp;B29</f>
        <v/>
      </c>
    </row>
    <row r="30">
      <c r="A30" s="2" t="inlineStr">
        <is>
          <t>bull</t>
        </is>
      </c>
      <c r="B30" s="2" t="inlineStr">
        <is>
          <t>equity_ret_q</t>
        </is>
      </c>
      <c r="C30" s="11" t="n">
        <v>0.04</v>
      </c>
      <c r="D30" s="11" t="n">
        <v>0.035</v>
      </c>
      <c r="E30" s="11" t="n">
        <v>0.035</v>
      </c>
      <c r="F30" s="11" t="n">
        <v>0.03</v>
      </c>
      <c r="G30" s="11" t="n">
        <v>0.03</v>
      </c>
      <c r="H30" s="11" t="n">
        <v>0.03</v>
      </c>
      <c r="I30" s="11" t="n">
        <v>0.03</v>
      </c>
      <c r="J30" s="11" t="n">
        <v>0.03</v>
      </c>
      <c r="L30" s="2">
        <f>A30&amp;"|"&amp;B30</f>
        <v/>
      </c>
    </row>
    <row r="31">
      <c r="A31" s="2" t="inlineStr">
        <is>
          <t>bull</t>
        </is>
      </c>
      <c r="B31" s="2" t="inlineStr">
        <is>
          <t>bond_ret_q</t>
        </is>
      </c>
      <c r="C31" s="11" t="n">
        <v>0.015</v>
      </c>
      <c r="D31" s="11" t="n">
        <v>0.015</v>
      </c>
      <c r="E31" s="11" t="n">
        <v>0.012</v>
      </c>
      <c r="F31" s="11" t="n">
        <v>0.012</v>
      </c>
      <c r="G31" s="11" t="n">
        <v>0.012</v>
      </c>
      <c r="H31" s="11" t="n">
        <v>0.012</v>
      </c>
      <c r="I31" s="11" t="n">
        <v>0.012</v>
      </c>
      <c r="J31" s="11" t="n">
        <v>0.012</v>
      </c>
      <c r="L31" s="2">
        <f>A31&amp;"|"&amp;B31</f>
        <v/>
      </c>
    </row>
    <row r="32">
      <c r="A32" s="2" t="inlineStr">
        <is>
          <t>bull</t>
        </is>
      </c>
      <c r="B32" s="2" t="inlineStr">
        <is>
          <t>short_rate</t>
        </is>
      </c>
      <c r="C32" s="11" t="n">
        <v>0.0375</v>
      </c>
      <c r="D32" s="11" t="n">
        <v>0.0325</v>
      </c>
      <c r="E32" s="11" t="n">
        <v>0.03</v>
      </c>
      <c r="F32" s="11" t="n">
        <v>0.03</v>
      </c>
      <c r="G32" s="11" t="n">
        <v>0.03</v>
      </c>
      <c r="H32" s="11" t="n">
        <v>0.03</v>
      </c>
      <c r="I32" s="11" t="n">
        <v>0.03</v>
      </c>
      <c r="J32" s="11" t="n">
        <v>0.03</v>
      </c>
      <c r="L32" s="2">
        <f>A32&amp;"|"&amp;B32</f>
        <v/>
      </c>
    </row>
    <row r="33">
      <c r="A33" s="2" t="inlineStr">
        <is>
          <t>bull</t>
        </is>
      </c>
      <c r="B33" s="2" t="inlineStr">
        <is>
          <t>org_alternatives</t>
        </is>
      </c>
      <c r="C33" s="11" t="n">
        <v>0.09</v>
      </c>
      <c r="D33" s="11" t="n">
        <v>0.09</v>
      </c>
      <c r="E33" s="11" t="n">
        <v>0.09</v>
      </c>
      <c r="F33" s="11" t="n">
        <v>0.09</v>
      </c>
      <c r="G33" s="11" t="n">
        <v>0.09</v>
      </c>
      <c r="H33" s="11" t="n">
        <v>0.09</v>
      </c>
      <c r="I33" s="11" t="n">
        <v>0.09</v>
      </c>
      <c r="J33" s="11" t="n">
        <v>0.09</v>
      </c>
      <c r="L33" s="2">
        <f>A33&amp;"|"&amp;B33</f>
        <v/>
      </c>
    </row>
    <row r="34">
      <c r="A34" s="2" t="inlineStr">
        <is>
          <t>bull</t>
        </is>
      </c>
      <c r="B34" s="2" t="inlineStr">
        <is>
          <t>org_equity</t>
        </is>
      </c>
      <c r="C34" s="11" t="n">
        <v>0.07000000000000001</v>
      </c>
      <c r="D34" s="11" t="n">
        <v>0.07000000000000001</v>
      </c>
      <c r="E34" s="11" t="n">
        <v>0.07000000000000001</v>
      </c>
      <c r="F34" s="11" t="n">
        <v>0.07000000000000001</v>
      </c>
      <c r="G34" s="11" t="n">
        <v>0.07000000000000001</v>
      </c>
      <c r="H34" s="11" t="n">
        <v>0.07000000000000001</v>
      </c>
      <c r="I34" s="11" t="n">
        <v>0.07000000000000001</v>
      </c>
      <c r="J34" s="11" t="n">
        <v>0.07000000000000001</v>
      </c>
      <c r="L34" s="2">
        <f>A34&amp;"|"&amp;B34</f>
        <v/>
      </c>
    </row>
    <row r="35">
      <c r="A35" s="2" t="inlineStr">
        <is>
          <t>bull</t>
        </is>
      </c>
      <c r="B35" s="2" t="inlineStr">
        <is>
          <t>org_fixed_income</t>
        </is>
      </c>
      <c r="C35" s="11" t="n">
        <v>0.07000000000000001</v>
      </c>
      <c r="D35" s="11" t="n">
        <v>0.07000000000000001</v>
      </c>
      <c r="E35" s="11" t="n">
        <v>0.07000000000000001</v>
      </c>
      <c r="F35" s="11" t="n">
        <v>0.07000000000000001</v>
      </c>
      <c r="G35" s="11" t="n">
        <v>0.07000000000000001</v>
      </c>
      <c r="H35" s="11" t="n">
        <v>0.07000000000000001</v>
      </c>
      <c r="I35" s="11" t="n">
        <v>0.07000000000000001</v>
      </c>
      <c r="J35" s="11" t="n">
        <v>0.07000000000000001</v>
      </c>
      <c r="L35" s="2">
        <f>A35&amp;"|"&amp;B35</f>
        <v/>
      </c>
    </row>
    <row r="36">
      <c r="A36" s="2" t="inlineStr">
        <is>
          <t>bull</t>
        </is>
      </c>
      <c r="B36" s="2" t="inlineStr">
        <is>
          <t>org_liquidity</t>
        </is>
      </c>
      <c r="C36" s="11" t="n">
        <v>0.05</v>
      </c>
      <c r="D36" s="11" t="n">
        <v>0.05</v>
      </c>
      <c r="E36" s="11" t="n">
        <v>0.05</v>
      </c>
      <c r="F36" s="11" t="n">
        <v>0.05</v>
      </c>
      <c r="G36" s="11" t="n">
        <v>0.05</v>
      </c>
      <c r="H36" s="11" t="n">
        <v>0.05</v>
      </c>
      <c r="I36" s="11" t="n">
        <v>0.05</v>
      </c>
      <c r="J36" s="11" t="n">
        <v>0.05</v>
      </c>
      <c r="L36" s="2">
        <f>A36&amp;"|"&amp;B36</f>
        <v/>
      </c>
    </row>
    <row r="37">
      <c r="A37" s="2" t="inlineStr">
        <is>
          <t>bull</t>
        </is>
      </c>
      <c r="B37" s="2" t="inlineStr">
        <is>
          <t>incentive_mult</t>
        </is>
      </c>
      <c r="C37" s="10" t="n">
        <v>1.4</v>
      </c>
      <c r="D37" s="10" t="n">
        <v>1.4</v>
      </c>
      <c r="E37" s="10" t="n">
        <v>1.4</v>
      </c>
      <c r="F37" s="10" t="n">
        <v>1.4</v>
      </c>
      <c r="G37" s="10" t="n">
        <v>1.4</v>
      </c>
      <c r="H37" s="10" t="n">
        <v>1.4</v>
      </c>
      <c r="I37" s="10" t="n">
        <v>1.4</v>
      </c>
      <c r="J37" s="10" t="n">
        <v>1.4</v>
      </c>
      <c r="L37" s="2">
        <f>A37&amp;"|"&amp;B37</f>
        <v/>
      </c>
    </row>
    <row r="38">
      <c r="A38" s="2" t="inlineStr">
        <is>
          <t>bull</t>
        </is>
      </c>
      <c r="B38" s="2" t="inlineStr">
        <is>
          <t>investments_mult</t>
        </is>
      </c>
      <c r="C38" s="10" t="n">
        <v>1.5</v>
      </c>
      <c r="D38" s="10" t="n">
        <v>1.5</v>
      </c>
      <c r="E38" s="10" t="n">
        <v>1.5</v>
      </c>
      <c r="F38" s="10" t="n">
        <v>1.5</v>
      </c>
      <c r="G38" s="10" t="n">
        <v>1.5</v>
      </c>
      <c r="H38" s="10" t="n">
        <v>1.5</v>
      </c>
      <c r="I38" s="10" t="n">
        <v>1.5</v>
      </c>
      <c r="J38" s="10" t="n">
        <v>1.5</v>
      </c>
      <c r="L38" s="2">
        <f>A38&amp;"|"&amp;B38</f>
        <v/>
      </c>
    </row>
    <row r="39">
      <c r="A39" s="2" t="inlineStr">
        <is>
          <t>bull</t>
        </is>
      </c>
      <c r="B39" s="2" t="inlineStr">
        <is>
          <t>provision_mult</t>
        </is>
      </c>
      <c r="C39" s="10" t="n">
        <v>0.8</v>
      </c>
      <c r="D39" s="10" t="n">
        <v>0.8</v>
      </c>
      <c r="E39" s="10" t="n">
        <v>0.8</v>
      </c>
      <c r="F39" s="10" t="n">
        <v>0.8</v>
      </c>
      <c r="G39" s="10" t="n">
        <v>0.8</v>
      </c>
      <c r="H39" s="10" t="n">
        <v>0.8</v>
      </c>
      <c r="I39" s="10" t="n">
        <v>0.8</v>
      </c>
      <c r="J39" s="10" t="n">
        <v>0.8</v>
      </c>
      <c r="L39" s="2">
        <f>A39&amp;"|"&amp;B39</f>
        <v/>
      </c>
    </row>
    <row r="40">
      <c r="A40" s="2" t="inlineStr">
        <is>
          <t>bear</t>
        </is>
      </c>
      <c r="B40" s="2" t="inlineStr">
        <is>
          <t>equity_ret_q</t>
        </is>
      </c>
      <c r="C40" s="11" t="n">
        <v>-0.03</v>
      </c>
      <c r="D40" s="11" t="n">
        <v>-0.02</v>
      </c>
      <c r="E40" s="11" t="n">
        <v>0</v>
      </c>
      <c r="F40" s="11" t="n">
        <v>0.01</v>
      </c>
      <c r="G40" s="11" t="n">
        <v>0.01</v>
      </c>
      <c r="H40" s="11" t="n">
        <v>0.015</v>
      </c>
      <c r="I40" s="11" t="n">
        <v>0.015</v>
      </c>
      <c r="J40" s="11" t="n">
        <v>0.015</v>
      </c>
      <c r="L40" s="2">
        <f>A40&amp;"|"&amp;B40</f>
        <v/>
      </c>
    </row>
    <row r="41">
      <c r="A41" s="2" t="inlineStr">
        <is>
          <t>bear</t>
        </is>
      </c>
      <c r="B41" s="2" t="inlineStr">
        <is>
          <t>bond_ret_q</t>
        </is>
      </c>
      <c r="C41" s="11" t="n">
        <v>0.005</v>
      </c>
      <c r="D41" s="11" t="n">
        <v>0.005</v>
      </c>
      <c r="E41" s="11" t="n">
        <v>0.005</v>
      </c>
      <c r="F41" s="11" t="n">
        <v>0.005</v>
      </c>
      <c r="G41" s="11" t="n">
        <v>0.008</v>
      </c>
      <c r="H41" s="11" t="n">
        <v>0.008</v>
      </c>
      <c r="I41" s="11" t="n">
        <v>0.008</v>
      </c>
      <c r="J41" s="11" t="n">
        <v>0.008</v>
      </c>
      <c r="L41" s="2">
        <f>A41&amp;"|"&amp;B41</f>
        <v/>
      </c>
    </row>
    <row r="42">
      <c r="A42" s="2" t="inlineStr">
        <is>
          <t>bear</t>
        </is>
      </c>
      <c r="B42" s="2" t="inlineStr">
        <is>
          <t>short_rate</t>
        </is>
      </c>
      <c r="C42" s="11" t="n">
        <v>0.0375</v>
      </c>
      <c r="D42" s="11" t="n">
        <v>0.035</v>
      </c>
      <c r="E42" s="11" t="n">
        <v>0.0325</v>
      </c>
      <c r="F42" s="11" t="n">
        <v>0.03</v>
      </c>
      <c r="G42" s="11" t="n">
        <v>0.03</v>
      </c>
      <c r="H42" s="11" t="n">
        <v>0.03</v>
      </c>
      <c r="I42" s="11" t="n">
        <v>0.03</v>
      </c>
      <c r="J42" s="11" t="n">
        <v>0.03</v>
      </c>
      <c r="L42" s="2">
        <f>A42&amp;"|"&amp;B42</f>
        <v/>
      </c>
    </row>
    <row r="43">
      <c r="A43" s="2" t="inlineStr">
        <is>
          <t>bear</t>
        </is>
      </c>
      <c r="B43" s="2" t="inlineStr">
        <is>
          <t>org_alternatives</t>
        </is>
      </c>
      <c r="C43" s="11" t="n">
        <v>0.02</v>
      </c>
      <c r="D43" s="11" t="n">
        <v>0.02</v>
      </c>
      <c r="E43" s="11" t="n">
        <v>0.02</v>
      </c>
      <c r="F43" s="11" t="n">
        <v>0.02</v>
      </c>
      <c r="G43" s="11" t="n">
        <v>0.02</v>
      </c>
      <c r="H43" s="11" t="n">
        <v>0.02</v>
      </c>
      <c r="I43" s="11" t="n">
        <v>0.02</v>
      </c>
      <c r="J43" s="11" t="n">
        <v>0.02</v>
      </c>
      <c r="L43" s="2">
        <f>A43&amp;"|"&amp;B43</f>
        <v/>
      </c>
    </row>
    <row r="44">
      <c r="A44" s="2" t="inlineStr">
        <is>
          <t>bear</t>
        </is>
      </c>
      <c r="B44" s="2" t="inlineStr">
        <is>
          <t>org_equity</t>
        </is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L44" s="2">
        <f>A44&amp;"|"&amp;B44</f>
        <v/>
      </c>
    </row>
    <row r="45">
      <c r="A45" s="2" t="inlineStr">
        <is>
          <t>bear</t>
        </is>
      </c>
      <c r="B45" s="2" t="inlineStr">
        <is>
          <t>org_fixed_income</t>
        </is>
      </c>
      <c r="C45" s="11" t="n">
        <v>0.02</v>
      </c>
      <c r="D45" s="11" t="n">
        <v>0.02</v>
      </c>
      <c r="E45" s="11" t="n">
        <v>0.02</v>
      </c>
      <c r="F45" s="11" t="n">
        <v>0.02</v>
      </c>
      <c r="G45" s="11" t="n">
        <v>0.02</v>
      </c>
      <c r="H45" s="11" t="n">
        <v>0.02</v>
      </c>
      <c r="I45" s="11" t="n">
        <v>0.02</v>
      </c>
      <c r="J45" s="11" t="n">
        <v>0.02</v>
      </c>
      <c r="L45" s="2">
        <f>A45&amp;"|"&amp;B45</f>
        <v/>
      </c>
    </row>
    <row r="46">
      <c r="A46" s="2" t="inlineStr">
        <is>
          <t>bear</t>
        </is>
      </c>
      <c r="B46" s="2" t="inlineStr">
        <is>
          <t>org_liquidity</t>
        </is>
      </c>
      <c r="C46" s="11" t="n">
        <v>0.02</v>
      </c>
      <c r="D46" s="11" t="n">
        <v>0.02</v>
      </c>
      <c r="E46" s="11" t="n">
        <v>0.02</v>
      </c>
      <c r="F46" s="11" t="n">
        <v>0.02</v>
      </c>
      <c r="G46" s="11" t="n">
        <v>0.02</v>
      </c>
      <c r="H46" s="11" t="n">
        <v>0.02</v>
      </c>
      <c r="I46" s="11" t="n">
        <v>0.02</v>
      </c>
      <c r="J46" s="11" t="n">
        <v>0.02</v>
      </c>
      <c r="L46" s="2">
        <f>A46&amp;"|"&amp;B46</f>
        <v/>
      </c>
    </row>
    <row r="47">
      <c r="A47" s="2" t="inlineStr">
        <is>
          <t>bear</t>
        </is>
      </c>
      <c r="B47" s="2" t="inlineStr">
        <is>
          <t>incentive_mult</t>
        </is>
      </c>
      <c r="C47" s="10" t="n">
        <v>0.6</v>
      </c>
      <c r="D47" s="10" t="n">
        <v>0.6</v>
      </c>
      <c r="E47" s="10" t="n">
        <v>0.6</v>
      </c>
      <c r="F47" s="10" t="n">
        <v>0.6</v>
      </c>
      <c r="G47" s="10" t="n">
        <v>0.6</v>
      </c>
      <c r="H47" s="10" t="n">
        <v>0.6</v>
      </c>
      <c r="I47" s="10" t="n">
        <v>0.6</v>
      </c>
      <c r="J47" s="10" t="n">
        <v>0.6</v>
      </c>
      <c r="L47" s="2">
        <f>A47&amp;"|"&amp;B47</f>
        <v/>
      </c>
    </row>
    <row r="48">
      <c r="A48" s="2" t="inlineStr">
        <is>
          <t>bear</t>
        </is>
      </c>
      <c r="B48" s="2" t="inlineStr">
        <is>
          <t>investments_mult</t>
        </is>
      </c>
      <c r="C48" s="10" t="n">
        <v>0.3</v>
      </c>
      <c r="D48" s="10" t="n">
        <v>0.3</v>
      </c>
      <c r="E48" s="10" t="n">
        <v>0.3</v>
      </c>
      <c r="F48" s="10" t="n">
        <v>0.3</v>
      </c>
      <c r="G48" s="10" t="n">
        <v>0.3</v>
      </c>
      <c r="H48" s="10" t="n">
        <v>0.3</v>
      </c>
      <c r="I48" s="10" t="n">
        <v>0.3</v>
      </c>
      <c r="J48" s="10" t="n">
        <v>0.3</v>
      </c>
      <c r="L48" s="2">
        <f>A48&amp;"|"&amp;B48</f>
        <v/>
      </c>
    </row>
    <row r="49">
      <c r="A49" s="2" t="inlineStr">
        <is>
          <t>bear</t>
        </is>
      </c>
      <c r="B49" s="2" t="inlineStr">
        <is>
          <t>provision_mult</t>
        </is>
      </c>
      <c r="C49" s="10" t="n">
        <v>1.6</v>
      </c>
      <c r="D49" s="10" t="n">
        <v>1.6</v>
      </c>
      <c r="E49" s="10" t="n">
        <v>1.6</v>
      </c>
      <c r="F49" s="10" t="n">
        <v>1.6</v>
      </c>
      <c r="G49" s="10" t="n">
        <v>1.6</v>
      </c>
      <c r="H49" s="10" t="n">
        <v>1.6</v>
      </c>
      <c r="I49" s="10" t="n">
        <v>1.6</v>
      </c>
      <c r="J49" s="10" t="n">
        <v>1.6</v>
      </c>
      <c r="L49" s="2">
        <f>A49&amp;"|"&amp;B49</f>
        <v/>
      </c>
    </row>
    <row r="50">
      <c r="A50" s="2" t="inlineStr">
        <is>
          <t>stress</t>
        </is>
      </c>
      <c r="B50" s="2" t="inlineStr">
        <is>
          <t>equity_ret_q</t>
        </is>
      </c>
      <c r="C50" s="11" t="n">
        <v>-0.15</v>
      </c>
      <c r="D50" s="11" t="n">
        <v>-0.118</v>
      </c>
      <c r="E50" s="11" t="n">
        <v>0.02</v>
      </c>
      <c r="F50" s="11" t="n">
        <v>0.02</v>
      </c>
      <c r="G50" s="11" t="n">
        <v>0.02</v>
      </c>
      <c r="H50" s="11" t="n">
        <v>0.02</v>
      </c>
      <c r="I50" s="11" t="n">
        <v>0.02</v>
      </c>
      <c r="J50" s="11" t="n">
        <v>0.02</v>
      </c>
      <c r="L50" s="2">
        <f>A50&amp;"|"&amp;B50</f>
        <v/>
      </c>
    </row>
    <row r="51">
      <c r="A51" s="2" t="inlineStr">
        <is>
          <t>stress</t>
        </is>
      </c>
      <c r="B51" s="2" t="inlineStr">
        <is>
          <t>bond_ret_q</t>
        </is>
      </c>
      <c r="C51" s="11" t="n">
        <v>-0.03</v>
      </c>
      <c r="D51" s="11" t="n">
        <v>-0.01</v>
      </c>
      <c r="E51" s="11" t="n">
        <v>0.01</v>
      </c>
      <c r="F51" s="11" t="n">
        <v>0.01</v>
      </c>
      <c r="G51" s="11" t="n">
        <v>0.01</v>
      </c>
      <c r="H51" s="11" t="n">
        <v>0.01</v>
      </c>
      <c r="I51" s="11" t="n">
        <v>0.01</v>
      </c>
      <c r="J51" s="11" t="n">
        <v>0.01</v>
      </c>
      <c r="L51" s="2">
        <f>A51&amp;"|"&amp;B51</f>
        <v/>
      </c>
    </row>
    <row r="52">
      <c r="A52" s="2" t="inlineStr">
        <is>
          <t>stress</t>
        </is>
      </c>
      <c r="B52" s="2" t="inlineStr">
        <is>
          <t>short_rate</t>
        </is>
      </c>
      <c r="C52" s="11" t="n">
        <v>0.0375</v>
      </c>
      <c r="D52" s="11" t="n">
        <v>0.03</v>
      </c>
      <c r="E52" s="11" t="n">
        <v>0.025</v>
      </c>
      <c r="F52" s="11" t="n">
        <v>0.025</v>
      </c>
      <c r="G52" s="11" t="n">
        <v>0.025</v>
      </c>
      <c r="H52" s="11" t="n">
        <v>0.025</v>
      </c>
      <c r="I52" s="11" t="n">
        <v>0.025</v>
      </c>
      <c r="J52" s="11" t="n">
        <v>0.025</v>
      </c>
      <c r="L52" s="2">
        <f>A52&amp;"|"&amp;B52</f>
        <v/>
      </c>
    </row>
    <row r="53">
      <c r="A53" s="2" t="inlineStr">
        <is>
          <t>stress</t>
        </is>
      </c>
      <c r="B53" s="2" t="inlineStr">
        <is>
          <t>org_alternatives</t>
        </is>
      </c>
      <c r="C53" s="11" t="n">
        <v>-0.04</v>
      </c>
      <c r="D53" s="11" t="n">
        <v>-0.04</v>
      </c>
      <c r="E53" s="11" t="n">
        <v>-0.04</v>
      </c>
      <c r="F53" s="11" t="n">
        <v>-0.04</v>
      </c>
      <c r="G53" s="11" t="n">
        <v>-0.04</v>
      </c>
      <c r="H53" s="11" t="n">
        <v>-0.04</v>
      </c>
      <c r="I53" s="11" t="n">
        <v>-0.04</v>
      </c>
      <c r="J53" s="11" t="n">
        <v>-0.04</v>
      </c>
      <c r="L53" s="2">
        <f>A53&amp;"|"&amp;B53</f>
        <v/>
      </c>
    </row>
    <row r="54">
      <c r="A54" s="2" t="inlineStr">
        <is>
          <t>stress</t>
        </is>
      </c>
      <c r="B54" s="2" t="inlineStr">
        <is>
          <t>org_equity</t>
        </is>
      </c>
      <c r="C54" s="11" t="n">
        <v>-0.08</v>
      </c>
      <c r="D54" s="11" t="n">
        <v>-0.08</v>
      </c>
      <c r="E54" s="11" t="n">
        <v>-0.08</v>
      </c>
      <c r="F54" s="11" t="n">
        <v>-0.08</v>
      </c>
      <c r="G54" s="11" t="n">
        <v>-0.08</v>
      </c>
      <c r="H54" s="11" t="n">
        <v>-0.08</v>
      </c>
      <c r="I54" s="11" t="n">
        <v>-0.08</v>
      </c>
      <c r="J54" s="11" t="n">
        <v>-0.08</v>
      </c>
      <c r="L54" s="2">
        <f>A54&amp;"|"&amp;B54</f>
        <v/>
      </c>
    </row>
    <row r="55">
      <c r="A55" s="2" t="inlineStr">
        <is>
          <t>stress</t>
        </is>
      </c>
      <c r="B55" s="2" t="inlineStr">
        <is>
          <t>org_fixed_income</t>
        </is>
      </c>
      <c r="C55" s="11" t="n">
        <v>-0.04</v>
      </c>
      <c r="D55" s="11" t="n">
        <v>-0.04</v>
      </c>
      <c r="E55" s="11" t="n">
        <v>-0.04</v>
      </c>
      <c r="F55" s="11" t="n">
        <v>-0.04</v>
      </c>
      <c r="G55" s="11" t="n">
        <v>-0.04</v>
      </c>
      <c r="H55" s="11" t="n">
        <v>-0.04</v>
      </c>
      <c r="I55" s="11" t="n">
        <v>-0.04</v>
      </c>
      <c r="J55" s="11" t="n">
        <v>-0.04</v>
      </c>
      <c r="L55" s="2">
        <f>A55&amp;"|"&amp;B55</f>
        <v/>
      </c>
    </row>
    <row r="56">
      <c r="A56" s="2" t="inlineStr">
        <is>
          <t>stress</t>
        </is>
      </c>
      <c r="B56" s="2" t="inlineStr">
        <is>
          <t>org_liquidity</t>
        </is>
      </c>
      <c r="C56" s="11" t="n">
        <v>0.06</v>
      </c>
      <c r="D56" s="11" t="n">
        <v>0.06</v>
      </c>
      <c r="E56" s="11" t="n">
        <v>0.06</v>
      </c>
      <c r="F56" s="11" t="n">
        <v>0.06</v>
      </c>
      <c r="G56" s="11" t="n">
        <v>0.06</v>
      </c>
      <c r="H56" s="11" t="n">
        <v>0.06</v>
      </c>
      <c r="I56" s="11" t="n">
        <v>0.06</v>
      </c>
      <c r="J56" s="11" t="n">
        <v>0.06</v>
      </c>
      <c r="L56" s="2">
        <f>A56&amp;"|"&amp;B56</f>
        <v/>
      </c>
    </row>
    <row r="57">
      <c r="A57" s="2" t="inlineStr">
        <is>
          <t>stress</t>
        </is>
      </c>
      <c r="B57" s="2" t="inlineStr">
        <is>
          <t>incentive_mult</t>
        </is>
      </c>
      <c r="C57" s="10" t="n">
        <v>0.15</v>
      </c>
      <c r="D57" s="10" t="n">
        <v>0.15</v>
      </c>
      <c r="E57" s="10" t="n">
        <v>0.15</v>
      </c>
      <c r="F57" s="10" t="n">
        <v>0.15</v>
      </c>
      <c r="G57" s="10" t="n">
        <v>0.15</v>
      </c>
      <c r="H57" s="10" t="n">
        <v>0.15</v>
      </c>
      <c r="I57" s="10" t="n">
        <v>0.15</v>
      </c>
      <c r="J57" s="10" t="n">
        <v>0.15</v>
      </c>
      <c r="L57" s="2">
        <f>A57&amp;"|"&amp;B57</f>
        <v/>
      </c>
    </row>
    <row r="58">
      <c r="A58" s="2" t="inlineStr">
        <is>
          <t>stress</t>
        </is>
      </c>
      <c r="B58" s="2" t="inlineStr">
        <is>
          <t>investments_mult</t>
        </is>
      </c>
      <c r="C58" s="10" t="n">
        <v>-0.5</v>
      </c>
      <c r="D58" s="10" t="n">
        <v>-0.5</v>
      </c>
      <c r="E58" s="10" t="n">
        <v>-0.5</v>
      </c>
      <c r="F58" s="10" t="n">
        <v>-0.5</v>
      </c>
      <c r="G58" s="10" t="n">
        <v>-0.5</v>
      </c>
      <c r="H58" s="10" t="n">
        <v>-0.5</v>
      </c>
      <c r="I58" s="10" t="n">
        <v>-0.5</v>
      </c>
      <c r="J58" s="10" t="n">
        <v>-0.5</v>
      </c>
      <c r="L58" s="2">
        <f>A58&amp;"|"&amp;B58</f>
        <v/>
      </c>
    </row>
    <row r="59">
      <c r="A59" s="2" t="inlineStr">
        <is>
          <t>stress</t>
        </is>
      </c>
      <c r="B59" s="2" t="inlineStr">
        <is>
          <t>provision_mult</t>
        </is>
      </c>
      <c r="C59" s="10" t="n">
        <v>3</v>
      </c>
      <c r="D59" s="10" t="n">
        <v>3</v>
      </c>
      <c r="E59" s="10" t="n">
        <v>3</v>
      </c>
      <c r="F59" s="10" t="n">
        <v>3</v>
      </c>
      <c r="G59" s="10" t="n">
        <v>3</v>
      </c>
      <c r="H59" s="10" t="n">
        <v>3</v>
      </c>
      <c r="I59" s="10" t="n">
        <v>3</v>
      </c>
      <c r="J59" s="10" t="n">
        <v>3</v>
      </c>
      <c r="L59" s="2">
        <f>A59&amp;"|"&amp;B59</f>
        <v/>
      </c>
    </row>
  </sheetData>
  <dataValidations count="1">
    <dataValidation sqref="B2" showDropDown="0" showInputMessage="0" showErrorMessage="0" allowBlank="0" type="list">
      <formula1>"base,bull,bear,stress"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6" t="inlineStr">
        <is>
          <t>AUS roll-forward by asset class ($m)</t>
        </is>
      </c>
    </row>
    <row r="2">
      <c r="A2" s="2" t="inlineStr">
        <is>
          <t>t (quarters ahead)</t>
        </is>
      </c>
      <c r="C2" s="12" t="n">
        <v>1</v>
      </c>
      <c r="D2" s="12" t="n">
        <v>2</v>
      </c>
      <c r="E2" s="12" t="n">
        <v>3</v>
      </c>
      <c r="F2" s="12" t="n">
        <v>4</v>
      </c>
      <c r="G2" s="12" t="n">
        <v>5</v>
      </c>
      <c r="H2" s="12" t="n">
        <v>6</v>
      </c>
      <c r="I2" s="12" t="n">
        <v>7</v>
      </c>
      <c r="J2" s="12" t="n">
        <v>8</v>
      </c>
    </row>
    <row r="3">
      <c r="A3" s="7" t="inlineStr">
        <is>
          <t>Line</t>
        </is>
      </c>
      <c r="B3" s="7" t="inlineStr">
        <is>
          <t>t0 (Q3-26)</t>
        </is>
      </c>
      <c r="C3" s="7" t="inlineStr">
        <is>
          <t>t1</t>
        </is>
      </c>
      <c r="D3" s="7" t="inlineStr">
        <is>
          <t>t2</t>
        </is>
      </c>
      <c r="E3" s="7" t="inlineStr">
        <is>
          <t>t3</t>
        </is>
      </c>
      <c r="F3" s="7" t="inlineStr">
        <is>
          <t>t4</t>
        </is>
      </c>
      <c r="G3" s="7" t="inlineStr">
        <is>
          <t>t5</t>
        </is>
      </c>
      <c r="H3" s="7" t="inlineStr">
        <is>
          <t>t6</t>
        </is>
      </c>
      <c r="I3" s="7" t="inlineStr">
        <is>
          <t>t7</t>
        </is>
      </c>
      <c r="J3" s="7" t="inlineStr">
        <is>
          <t>t8</t>
        </is>
      </c>
    </row>
    <row r="4">
      <c r="C4" s="23" t="inlineStr">
        <is>
          <t>Q4-26</t>
        </is>
      </c>
      <c r="D4" s="23" t="inlineStr">
        <is>
          <t>Q1-26</t>
        </is>
      </c>
      <c r="E4" s="23" t="inlineStr">
        <is>
          <t>Q2-27</t>
        </is>
      </c>
      <c r="F4" s="23" t="inlineStr">
        <is>
          <t>Q3-27</t>
        </is>
      </c>
      <c r="G4" s="23" t="inlineStr">
        <is>
          <t>Q4-27</t>
        </is>
      </c>
      <c r="H4" s="23" t="inlineStr">
        <is>
          <t>Q1-27</t>
        </is>
      </c>
      <c r="I4" s="23" t="inlineStr">
        <is>
          <t>Q2-28</t>
        </is>
      </c>
      <c r="J4" s="23" t="inlineStr">
        <is>
          <t>Q3-28</t>
        </is>
      </c>
    </row>
    <row r="5">
      <c r="A5" s="2" t="inlineStr">
        <is>
          <t>Calendar quarter number</t>
        </is>
      </c>
      <c r="C5" s="4">
        <f>MOD(Inputs!$B$35+C$2-1,4)+1</f>
        <v/>
      </c>
      <c r="D5" s="4">
        <f>MOD(Inputs!$B$35+D$2-1,4)+1</f>
        <v/>
      </c>
      <c r="E5" s="4">
        <f>MOD(Inputs!$B$35+E$2-1,4)+1</f>
        <v/>
      </c>
      <c r="F5" s="4">
        <f>MOD(Inputs!$B$35+F$2-1,4)+1</f>
        <v/>
      </c>
      <c r="G5" s="4">
        <f>MOD(Inputs!$B$35+G$2-1,4)+1</f>
        <v/>
      </c>
      <c r="H5" s="4">
        <f>MOD(Inputs!$B$35+H$2-1,4)+1</f>
        <v/>
      </c>
      <c r="I5" s="4">
        <f>MOD(Inputs!$B$35+I$2-1,4)+1</f>
        <v/>
      </c>
      <c r="J5" s="4">
        <f>MOD(Inputs!$B$35+J$2-1,4)+1</f>
        <v/>
      </c>
    </row>
    <row r="7">
      <c r="A7" s="24" t="inlineStr">
        <is>
          <t>alternatives</t>
        </is>
      </c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</row>
    <row r="8">
      <c r="A8" s="2" t="inlineStr">
        <is>
          <t>Beginning AUS</t>
        </is>
      </c>
      <c r="C8" s="13">
        <f>B12</f>
        <v/>
      </c>
      <c r="D8" s="13">
        <f>C12</f>
        <v/>
      </c>
      <c r="E8" s="13">
        <f>D12</f>
        <v/>
      </c>
      <c r="F8" s="13">
        <f>E12</f>
        <v/>
      </c>
      <c r="G8" s="13">
        <f>F12</f>
        <v/>
      </c>
      <c r="H8" s="13">
        <f>G12</f>
        <v/>
      </c>
      <c r="I8" s="13">
        <f>H12</f>
        <v/>
      </c>
      <c r="J8" s="13">
        <f>I12</f>
        <v/>
      </c>
    </row>
    <row r="9">
      <c r="A9" s="2" t="inlineStr">
        <is>
          <t>Market return (qtr)</t>
        </is>
      </c>
      <c r="C9" s="26">
        <f>Inputs!$F$13*Scenarios!C$5+Inputs!$G$13+Inputs!$H$13*Scenarios!C$6</f>
        <v/>
      </c>
      <c r="D9" s="26">
        <f>Inputs!$F$13*Scenarios!D$5+Inputs!$G$13+Inputs!$H$13*Scenarios!D$6</f>
        <v/>
      </c>
      <c r="E9" s="26">
        <f>Inputs!$F$13*Scenarios!E$5+Inputs!$G$13+Inputs!$H$13*Scenarios!E$6</f>
        <v/>
      </c>
      <c r="F9" s="26">
        <f>Inputs!$F$13*Scenarios!F$5+Inputs!$G$13+Inputs!$H$13*Scenarios!F$6</f>
        <v/>
      </c>
      <c r="G9" s="26">
        <f>Inputs!$F$13*Scenarios!G$5+Inputs!$G$13+Inputs!$H$13*Scenarios!G$6</f>
        <v/>
      </c>
      <c r="H9" s="26">
        <f>Inputs!$F$13*Scenarios!H$5+Inputs!$G$13+Inputs!$H$13*Scenarios!H$6</f>
        <v/>
      </c>
      <c r="I9" s="26">
        <f>Inputs!$F$13*Scenarios!I$5+Inputs!$G$13+Inputs!$H$13*Scenarios!I$6</f>
        <v/>
      </c>
      <c r="J9" s="26">
        <f>Inputs!$F$13*Scenarios!J$5+Inputs!$G$13+Inputs!$H$13*Scenarios!J$6</f>
        <v/>
      </c>
    </row>
    <row r="10">
      <c r="A10" s="2" t="inlineStr">
        <is>
          <t>Market impact</t>
        </is>
      </c>
      <c r="C10" s="13">
        <f>C8*C9</f>
        <v/>
      </c>
      <c r="D10" s="13">
        <f>D8*D9</f>
        <v/>
      </c>
      <c r="E10" s="13">
        <f>E8*E9</f>
        <v/>
      </c>
      <c r="F10" s="13">
        <f>F8*F9</f>
        <v/>
      </c>
      <c r="G10" s="13">
        <f>G8*G9</f>
        <v/>
      </c>
      <c r="H10" s="13">
        <f>H8*H9</f>
        <v/>
      </c>
      <c r="I10" s="13">
        <f>I8*I9</f>
        <v/>
      </c>
      <c r="J10" s="13">
        <f>J8*J9</f>
        <v/>
      </c>
    </row>
    <row r="11">
      <c r="A11" s="2" t="inlineStr">
        <is>
          <t>Net flows</t>
        </is>
      </c>
      <c r="C11" s="27">
        <f>Scenarios!C$8/4*C8</f>
        <v/>
      </c>
      <c r="D11" s="27">
        <f>Scenarios!D$8/4*D8</f>
        <v/>
      </c>
      <c r="E11" s="27">
        <f>Scenarios!E$8/4*E8</f>
        <v/>
      </c>
      <c r="F11" s="27">
        <f>Scenarios!F$8/4*F8</f>
        <v/>
      </c>
      <c r="G11" s="27">
        <f>Scenarios!G$8/4*G8</f>
        <v/>
      </c>
      <c r="H11" s="27">
        <f>Scenarios!H$8/4*H8</f>
        <v/>
      </c>
      <c r="I11" s="27">
        <f>Scenarios!I$8/4*I8</f>
        <v/>
      </c>
      <c r="J11" s="27">
        <f>Scenarios!J$8/4*J8</f>
        <v/>
      </c>
    </row>
    <row r="12">
      <c r="A12" s="2" t="inlineStr">
        <is>
          <t>Ending AUS</t>
        </is>
      </c>
      <c r="B12" s="27">
        <f>Inputs!C13</f>
        <v/>
      </c>
      <c r="C12" s="13">
        <f>C8+C10+C11</f>
        <v/>
      </c>
      <c r="D12" s="13">
        <f>D8+D10+D11</f>
        <v/>
      </c>
      <c r="E12" s="13">
        <f>E8+E10+E11</f>
        <v/>
      </c>
      <c r="F12" s="13">
        <f>F8+F10+F11</f>
        <v/>
      </c>
      <c r="G12" s="13">
        <f>G8+G10+G11</f>
        <v/>
      </c>
      <c r="H12" s="13">
        <f>H8+H10+H11</f>
        <v/>
      </c>
      <c r="I12" s="13">
        <f>I8+I10+I11</f>
        <v/>
      </c>
      <c r="J12" s="13">
        <f>J8+J10+J11</f>
        <v/>
      </c>
    </row>
    <row r="13">
      <c r="A13" s="24" t="inlineStr">
        <is>
          <t>equity</t>
        </is>
      </c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</row>
    <row r="14">
      <c r="A14" s="2" t="inlineStr">
        <is>
          <t>Beginning AUS</t>
        </is>
      </c>
      <c r="C14" s="13">
        <f>B18</f>
        <v/>
      </c>
      <c r="D14" s="13">
        <f>C18</f>
        <v/>
      </c>
      <c r="E14" s="13">
        <f>D18</f>
        <v/>
      </c>
      <c r="F14" s="13">
        <f>E18</f>
        <v/>
      </c>
      <c r="G14" s="13">
        <f>F18</f>
        <v/>
      </c>
      <c r="H14" s="13">
        <f>G18</f>
        <v/>
      </c>
      <c r="I14" s="13">
        <f>H18</f>
        <v/>
      </c>
      <c r="J14" s="13">
        <f>I18</f>
        <v/>
      </c>
    </row>
    <row r="15">
      <c r="A15" s="2" t="inlineStr">
        <is>
          <t>Market return (qtr)</t>
        </is>
      </c>
      <c r="C15" s="26">
        <f>Inputs!$F$14*Scenarios!C$5+Inputs!$G$14+Inputs!$H$14*Scenarios!C$6</f>
        <v/>
      </c>
      <c r="D15" s="26">
        <f>Inputs!$F$14*Scenarios!D$5+Inputs!$G$14+Inputs!$H$14*Scenarios!D$6</f>
        <v/>
      </c>
      <c r="E15" s="26">
        <f>Inputs!$F$14*Scenarios!E$5+Inputs!$G$14+Inputs!$H$14*Scenarios!E$6</f>
        <v/>
      </c>
      <c r="F15" s="26">
        <f>Inputs!$F$14*Scenarios!F$5+Inputs!$G$14+Inputs!$H$14*Scenarios!F$6</f>
        <v/>
      </c>
      <c r="G15" s="26">
        <f>Inputs!$F$14*Scenarios!G$5+Inputs!$G$14+Inputs!$H$14*Scenarios!G$6</f>
        <v/>
      </c>
      <c r="H15" s="26">
        <f>Inputs!$F$14*Scenarios!H$5+Inputs!$G$14+Inputs!$H$14*Scenarios!H$6</f>
        <v/>
      </c>
      <c r="I15" s="26">
        <f>Inputs!$F$14*Scenarios!I$5+Inputs!$G$14+Inputs!$H$14*Scenarios!I$6</f>
        <v/>
      </c>
      <c r="J15" s="26">
        <f>Inputs!$F$14*Scenarios!J$5+Inputs!$G$14+Inputs!$H$14*Scenarios!J$6</f>
        <v/>
      </c>
    </row>
    <row r="16">
      <c r="A16" s="2" t="inlineStr">
        <is>
          <t>Market impact</t>
        </is>
      </c>
      <c r="C16" s="13">
        <f>C14*C15</f>
        <v/>
      </c>
      <c r="D16" s="13">
        <f>D14*D15</f>
        <v/>
      </c>
      <c r="E16" s="13">
        <f>E14*E15</f>
        <v/>
      </c>
      <c r="F16" s="13">
        <f>F14*F15</f>
        <v/>
      </c>
      <c r="G16" s="13">
        <f>G14*G15</f>
        <v/>
      </c>
      <c r="H16" s="13">
        <f>H14*H15</f>
        <v/>
      </c>
      <c r="I16" s="13">
        <f>I14*I15</f>
        <v/>
      </c>
      <c r="J16" s="13">
        <f>J14*J15</f>
        <v/>
      </c>
    </row>
    <row r="17">
      <c r="A17" s="2" t="inlineStr">
        <is>
          <t>Net flows</t>
        </is>
      </c>
      <c r="C17" s="27">
        <f>Scenarios!C$9/4*C14</f>
        <v/>
      </c>
      <c r="D17" s="27">
        <f>Scenarios!D$9/4*D14</f>
        <v/>
      </c>
      <c r="E17" s="27">
        <f>Scenarios!E$9/4*E14</f>
        <v/>
      </c>
      <c r="F17" s="27">
        <f>Scenarios!F$9/4*F14</f>
        <v/>
      </c>
      <c r="G17" s="27">
        <f>Scenarios!G$9/4*G14</f>
        <v/>
      </c>
      <c r="H17" s="27">
        <f>Scenarios!H$9/4*H14</f>
        <v/>
      </c>
      <c r="I17" s="27">
        <f>Scenarios!I$9/4*I14</f>
        <v/>
      </c>
      <c r="J17" s="27">
        <f>Scenarios!J$9/4*J14</f>
        <v/>
      </c>
    </row>
    <row r="18">
      <c r="A18" s="2" t="inlineStr">
        <is>
          <t>Ending AUS</t>
        </is>
      </c>
      <c r="B18" s="27">
        <f>Inputs!C14</f>
        <v/>
      </c>
      <c r="C18" s="13">
        <f>C14+C16+C17</f>
        <v/>
      </c>
      <c r="D18" s="13">
        <f>D14+D16+D17</f>
        <v/>
      </c>
      <c r="E18" s="13">
        <f>E14+E16+E17</f>
        <v/>
      </c>
      <c r="F18" s="13">
        <f>F14+F16+F17</f>
        <v/>
      </c>
      <c r="G18" s="13">
        <f>G14+G16+G17</f>
        <v/>
      </c>
      <c r="H18" s="13">
        <f>H14+H16+H17</f>
        <v/>
      </c>
      <c r="I18" s="13">
        <f>I14+I16+I17</f>
        <v/>
      </c>
      <c r="J18" s="13">
        <f>J14+J16+J17</f>
        <v/>
      </c>
    </row>
    <row r="19">
      <c r="A19" s="24" t="inlineStr">
        <is>
          <t>fixed_income</t>
        </is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</row>
    <row r="20">
      <c r="A20" s="2" t="inlineStr">
        <is>
          <t>Beginning AUS</t>
        </is>
      </c>
      <c r="C20" s="13">
        <f>B24</f>
        <v/>
      </c>
      <c r="D20" s="13">
        <f>C24</f>
        <v/>
      </c>
      <c r="E20" s="13">
        <f>D24</f>
        <v/>
      </c>
      <c r="F20" s="13">
        <f>E24</f>
        <v/>
      </c>
      <c r="G20" s="13">
        <f>F24</f>
        <v/>
      </c>
      <c r="H20" s="13">
        <f>G24</f>
        <v/>
      </c>
      <c r="I20" s="13">
        <f>H24</f>
        <v/>
      </c>
      <c r="J20" s="13">
        <f>I24</f>
        <v/>
      </c>
    </row>
    <row r="21">
      <c r="A21" s="2" t="inlineStr">
        <is>
          <t>Market return (qtr)</t>
        </is>
      </c>
      <c r="C21" s="26">
        <f>Inputs!$F$15*Scenarios!C$5+Inputs!$G$15+Inputs!$H$15*Scenarios!C$6</f>
        <v/>
      </c>
      <c r="D21" s="26">
        <f>Inputs!$F$15*Scenarios!D$5+Inputs!$G$15+Inputs!$H$15*Scenarios!D$6</f>
        <v/>
      </c>
      <c r="E21" s="26">
        <f>Inputs!$F$15*Scenarios!E$5+Inputs!$G$15+Inputs!$H$15*Scenarios!E$6</f>
        <v/>
      </c>
      <c r="F21" s="26">
        <f>Inputs!$F$15*Scenarios!F$5+Inputs!$G$15+Inputs!$H$15*Scenarios!F$6</f>
        <v/>
      </c>
      <c r="G21" s="26">
        <f>Inputs!$F$15*Scenarios!G$5+Inputs!$G$15+Inputs!$H$15*Scenarios!G$6</f>
        <v/>
      </c>
      <c r="H21" s="26">
        <f>Inputs!$F$15*Scenarios!H$5+Inputs!$G$15+Inputs!$H$15*Scenarios!H$6</f>
        <v/>
      </c>
      <c r="I21" s="26">
        <f>Inputs!$F$15*Scenarios!I$5+Inputs!$G$15+Inputs!$H$15*Scenarios!I$6</f>
        <v/>
      </c>
      <c r="J21" s="26">
        <f>Inputs!$F$15*Scenarios!J$5+Inputs!$G$15+Inputs!$H$15*Scenarios!J$6</f>
        <v/>
      </c>
    </row>
    <row r="22">
      <c r="A22" s="2" t="inlineStr">
        <is>
          <t>Market impact</t>
        </is>
      </c>
      <c r="C22" s="13">
        <f>C20*C21</f>
        <v/>
      </c>
      <c r="D22" s="13">
        <f>D20*D21</f>
        <v/>
      </c>
      <c r="E22" s="13">
        <f>E20*E21</f>
        <v/>
      </c>
      <c r="F22" s="13">
        <f>F20*F21</f>
        <v/>
      </c>
      <c r="G22" s="13">
        <f>G20*G21</f>
        <v/>
      </c>
      <c r="H22" s="13">
        <f>H20*H21</f>
        <v/>
      </c>
      <c r="I22" s="13">
        <f>I20*I21</f>
        <v/>
      </c>
      <c r="J22" s="13">
        <f>J20*J21</f>
        <v/>
      </c>
    </row>
    <row r="23">
      <c r="A23" s="2" t="inlineStr">
        <is>
          <t>Net flows</t>
        </is>
      </c>
      <c r="C23" s="27">
        <f>Scenarios!C$10/4*C20</f>
        <v/>
      </c>
      <c r="D23" s="27">
        <f>Scenarios!D$10/4*D20</f>
        <v/>
      </c>
      <c r="E23" s="27">
        <f>Scenarios!E$10/4*E20</f>
        <v/>
      </c>
      <c r="F23" s="27">
        <f>Scenarios!F$10/4*F20</f>
        <v/>
      </c>
      <c r="G23" s="27">
        <f>Scenarios!G$10/4*G20</f>
        <v/>
      </c>
      <c r="H23" s="27">
        <f>Scenarios!H$10/4*H20</f>
        <v/>
      </c>
      <c r="I23" s="27">
        <f>Scenarios!I$10/4*I20</f>
        <v/>
      </c>
      <c r="J23" s="27">
        <f>Scenarios!J$10/4*J20</f>
        <v/>
      </c>
    </row>
    <row r="24">
      <c r="A24" s="2" t="inlineStr">
        <is>
          <t>Ending AUS</t>
        </is>
      </c>
      <c r="B24" s="27">
        <f>Inputs!C15</f>
        <v/>
      </c>
      <c r="C24" s="13">
        <f>C20+C22+C23</f>
        <v/>
      </c>
      <c r="D24" s="13">
        <f>D20+D22+D23</f>
        <v/>
      </c>
      <c r="E24" s="13">
        <f>E20+E22+E23</f>
        <v/>
      </c>
      <c r="F24" s="13">
        <f>F20+F22+F23</f>
        <v/>
      </c>
      <c r="G24" s="13">
        <f>G20+G22+G23</f>
        <v/>
      </c>
      <c r="H24" s="13">
        <f>H20+H22+H23</f>
        <v/>
      </c>
      <c r="I24" s="13">
        <f>I20+I22+I23</f>
        <v/>
      </c>
      <c r="J24" s="13">
        <f>J20+J22+J23</f>
        <v/>
      </c>
    </row>
    <row r="25">
      <c r="A25" s="24" t="inlineStr">
        <is>
          <t>liquidity</t>
        </is>
      </c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</row>
    <row r="26">
      <c r="A26" s="2" t="inlineStr">
        <is>
          <t>Beginning AUS</t>
        </is>
      </c>
      <c r="C26" s="13">
        <f>B30</f>
        <v/>
      </c>
      <c r="D26" s="13">
        <f>C30</f>
        <v/>
      </c>
      <c r="E26" s="13">
        <f>D30</f>
        <v/>
      </c>
      <c r="F26" s="13">
        <f>E30</f>
        <v/>
      </c>
      <c r="G26" s="13">
        <f>F30</f>
        <v/>
      </c>
      <c r="H26" s="13">
        <f>G30</f>
        <v/>
      </c>
      <c r="I26" s="13">
        <f>H30</f>
        <v/>
      </c>
      <c r="J26" s="13">
        <f>I30</f>
        <v/>
      </c>
    </row>
    <row r="27">
      <c r="A27" s="2" t="inlineStr">
        <is>
          <t>Market return (qtr)</t>
        </is>
      </c>
      <c r="C27" s="26">
        <f>Inputs!$F$16*Scenarios!C$5+Inputs!$G$16+Inputs!$H$16*Scenarios!C$6</f>
        <v/>
      </c>
      <c r="D27" s="26">
        <f>Inputs!$F$16*Scenarios!D$5+Inputs!$G$16+Inputs!$H$16*Scenarios!D$6</f>
        <v/>
      </c>
      <c r="E27" s="26">
        <f>Inputs!$F$16*Scenarios!E$5+Inputs!$G$16+Inputs!$H$16*Scenarios!E$6</f>
        <v/>
      </c>
      <c r="F27" s="26">
        <f>Inputs!$F$16*Scenarios!F$5+Inputs!$G$16+Inputs!$H$16*Scenarios!F$6</f>
        <v/>
      </c>
      <c r="G27" s="26">
        <f>Inputs!$F$16*Scenarios!G$5+Inputs!$G$16+Inputs!$H$16*Scenarios!G$6</f>
        <v/>
      </c>
      <c r="H27" s="26">
        <f>Inputs!$F$16*Scenarios!H$5+Inputs!$G$16+Inputs!$H$16*Scenarios!H$6</f>
        <v/>
      </c>
      <c r="I27" s="26">
        <f>Inputs!$F$16*Scenarios!I$5+Inputs!$G$16+Inputs!$H$16*Scenarios!I$6</f>
        <v/>
      </c>
      <c r="J27" s="26">
        <f>Inputs!$F$16*Scenarios!J$5+Inputs!$G$16+Inputs!$H$16*Scenarios!J$6</f>
        <v/>
      </c>
    </row>
    <row r="28">
      <c r="A28" s="2" t="inlineStr">
        <is>
          <t>Market impact</t>
        </is>
      </c>
      <c r="C28" s="13">
        <f>C26*C27</f>
        <v/>
      </c>
      <c r="D28" s="13">
        <f>D26*D27</f>
        <v/>
      </c>
      <c r="E28" s="13">
        <f>E26*E27</f>
        <v/>
      </c>
      <c r="F28" s="13">
        <f>F26*F27</f>
        <v/>
      </c>
      <c r="G28" s="13">
        <f>G26*G27</f>
        <v/>
      </c>
      <c r="H28" s="13">
        <f>H26*H27</f>
        <v/>
      </c>
      <c r="I28" s="13">
        <f>I26*I27</f>
        <v/>
      </c>
      <c r="J28" s="13">
        <f>J26*J27</f>
        <v/>
      </c>
    </row>
    <row r="29">
      <c r="A29" s="2" t="inlineStr">
        <is>
          <t>Net flows</t>
        </is>
      </c>
      <c r="C29" s="27">
        <f>Scenarios!C$11/4*C26</f>
        <v/>
      </c>
      <c r="D29" s="27">
        <f>Scenarios!D$11/4*D26</f>
        <v/>
      </c>
      <c r="E29" s="27">
        <f>Scenarios!E$11/4*E26</f>
        <v/>
      </c>
      <c r="F29" s="27">
        <f>Scenarios!F$11/4*F26</f>
        <v/>
      </c>
      <c r="G29" s="27">
        <f>Scenarios!G$11/4*G26</f>
        <v/>
      </c>
      <c r="H29" s="27">
        <f>Scenarios!H$11/4*H26</f>
        <v/>
      </c>
      <c r="I29" s="27">
        <f>Scenarios!I$11/4*I26</f>
        <v/>
      </c>
      <c r="J29" s="27">
        <f>Scenarios!J$11/4*J26</f>
        <v/>
      </c>
    </row>
    <row r="30">
      <c r="A30" s="2" t="inlineStr">
        <is>
          <t>Ending AUS</t>
        </is>
      </c>
      <c r="B30" s="27">
        <f>Inputs!C16</f>
        <v/>
      </c>
      <c r="C30" s="13">
        <f>C26+C28+C29</f>
        <v/>
      </c>
      <c r="D30" s="13">
        <f>D26+D28+D29</f>
        <v/>
      </c>
      <c r="E30" s="13">
        <f>E26+E28+E29</f>
        <v/>
      </c>
      <c r="F30" s="13">
        <f>F26+F28+F29</f>
        <v/>
      </c>
      <c r="G30" s="13">
        <f>G26+G28+G29</f>
        <v/>
      </c>
      <c r="H30" s="13">
        <f>H26+H28+H29</f>
        <v/>
      </c>
      <c r="I30" s="13">
        <f>I26+I28+I29</f>
        <v/>
      </c>
      <c r="J30" s="13">
        <f>J26+J28+J29</f>
        <v/>
      </c>
    </row>
    <row r="31">
      <c r="A31" s="24" t="inlineStr">
        <is>
          <t>Total</t>
        </is>
      </c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</row>
    <row r="32">
      <c r="A32" s="2" t="inlineStr">
        <is>
          <t>Beginning AUS</t>
        </is>
      </c>
      <c r="C32" s="13">
        <f>C8+C14+C20+C26</f>
        <v/>
      </c>
      <c r="D32" s="13">
        <f>D8+D14+D20+D26</f>
        <v/>
      </c>
      <c r="E32" s="13">
        <f>E8+E14+E20+E26</f>
        <v/>
      </c>
      <c r="F32" s="13">
        <f>F8+F14+F20+F26</f>
        <v/>
      </c>
      <c r="G32" s="13">
        <f>G8+G14+G20+G26</f>
        <v/>
      </c>
      <c r="H32" s="13">
        <f>H8+H14+H20+H26</f>
        <v/>
      </c>
      <c r="I32" s="13">
        <f>I8+I14+I20+I26</f>
        <v/>
      </c>
      <c r="J32" s="13">
        <f>J8+J14+J20+J26</f>
        <v/>
      </c>
    </row>
    <row r="33">
      <c r="A33" s="2" t="inlineStr">
        <is>
          <t>Net flows</t>
        </is>
      </c>
      <c r="C33" s="13">
        <f>C11+C17+C23+C29</f>
        <v/>
      </c>
      <c r="D33" s="13">
        <f>D11+D17+D23+D29</f>
        <v/>
      </c>
      <c r="E33" s="13">
        <f>E11+E17+E23+E29</f>
        <v/>
      </c>
      <c r="F33" s="13">
        <f>F11+F17+F23+F29</f>
        <v/>
      </c>
      <c r="G33" s="13">
        <f>G11+G17+G23+G29</f>
        <v/>
      </c>
      <c r="H33" s="13">
        <f>H11+H17+H23+H29</f>
        <v/>
      </c>
      <c r="I33" s="13">
        <f>I11+I17+I23+I29</f>
        <v/>
      </c>
      <c r="J33" s="13">
        <f>J11+J17+J23+J29</f>
        <v/>
      </c>
    </row>
    <row r="34">
      <c r="A34" s="2" t="inlineStr">
        <is>
          <t>Market impact</t>
        </is>
      </c>
      <c r="C34" s="13">
        <f>C10+C16+C22+C28</f>
        <v/>
      </c>
      <c r="D34" s="13">
        <f>D10+D16+D22+D28</f>
        <v/>
      </c>
      <c r="E34" s="13">
        <f>E10+E16+E22+E28</f>
        <v/>
      </c>
      <c r="F34" s="13">
        <f>F10+F16+F22+F28</f>
        <v/>
      </c>
      <c r="G34" s="13">
        <f>G10+G16+G22+G28</f>
        <v/>
      </c>
      <c r="H34" s="13">
        <f>H10+H16+H22+H28</f>
        <v/>
      </c>
      <c r="I34" s="13">
        <f>I10+I16+I22+I28</f>
        <v/>
      </c>
      <c r="J34" s="13">
        <f>J10+J16+J22+J28</f>
        <v/>
      </c>
    </row>
    <row r="35">
      <c r="A35" s="2" t="inlineStr">
        <is>
          <t>Ending AUS</t>
        </is>
      </c>
      <c r="B35" s="13">
        <f>B12+B18+B24+B30</f>
        <v/>
      </c>
      <c r="C35" s="13">
        <f>C12+C18+C24+C30</f>
        <v/>
      </c>
      <c r="D35" s="13">
        <f>D12+D18+D24+D30</f>
        <v/>
      </c>
      <c r="E35" s="13">
        <f>E12+E18+E24+E30</f>
        <v/>
      </c>
      <c r="F35" s="13">
        <f>F12+F18+F24+F30</f>
        <v/>
      </c>
      <c r="G35" s="13">
        <f>G12+G18+G24+G30</f>
        <v/>
      </c>
      <c r="H35" s="13">
        <f>H12+H18+H24+H30</f>
        <v/>
      </c>
      <c r="I35" s="13">
        <f>I12+I18+I24+I30</f>
        <v/>
      </c>
      <c r="J35" s="13">
        <f>J12+J18+J24+J30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6" t="inlineStr">
        <is>
          <t>Revenue build ($m)</t>
        </is>
      </c>
    </row>
    <row r="2">
      <c r="A2" s="2" t="inlineStr">
        <is>
          <t>t (quarters ahead)</t>
        </is>
      </c>
      <c r="C2" s="12" t="n">
        <v>1</v>
      </c>
      <c r="D2" s="12" t="n">
        <v>2</v>
      </c>
      <c r="E2" s="12" t="n">
        <v>3</v>
      </c>
      <c r="F2" s="12" t="n">
        <v>4</v>
      </c>
      <c r="G2" s="12" t="n">
        <v>5</v>
      </c>
      <c r="H2" s="12" t="n">
        <v>6</v>
      </c>
      <c r="I2" s="12" t="n">
        <v>7</v>
      </c>
      <c r="J2" s="12" t="n">
        <v>8</v>
      </c>
    </row>
    <row r="3">
      <c r="A3" s="7" t="inlineStr">
        <is>
          <t>Line</t>
        </is>
      </c>
      <c r="B3" s="7" t="inlineStr"/>
      <c r="C3" s="7" t="inlineStr">
        <is>
          <t>t1</t>
        </is>
      </c>
      <c r="D3" s="7" t="inlineStr">
        <is>
          <t>t2</t>
        </is>
      </c>
      <c r="E3" s="7" t="inlineStr">
        <is>
          <t>t3</t>
        </is>
      </c>
      <c r="F3" s="7" t="inlineStr">
        <is>
          <t>t4</t>
        </is>
      </c>
      <c r="G3" s="7" t="inlineStr">
        <is>
          <t>t5</t>
        </is>
      </c>
      <c r="H3" s="7" t="inlineStr">
        <is>
          <t>t6</t>
        </is>
      </c>
      <c r="I3" s="7" t="inlineStr">
        <is>
          <t>t7</t>
        </is>
      </c>
      <c r="J3" s="7" t="inlineStr">
        <is>
          <t>t8</t>
        </is>
      </c>
    </row>
    <row r="4">
      <c r="C4" s="23" t="inlineStr">
        <is>
          <t>Q4-26</t>
        </is>
      </c>
      <c r="D4" s="23" t="inlineStr">
        <is>
          <t>Q1-26</t>
        </is>
      </c>
      <c r="E4" s="23" t="inlineStr">
        <is>
          <t>Q2-27</t>
        </is>
      </c>
      <c r="F4" s="23" t="inlineStr">
        <is>
          <t>Q3-27</t>
        </is>
      </c>
      <c r="G4" s="23" t="inlineStr">
        <is>
          <t>Q4-27</t>
        </is>
      </c>
      <c r="H4" s="23" t="inlineStr">
        <is>
          <t>Q1-27</t>
        </is>
      </c>
      <c r="I4" s="23" t="inlineStr">
        <is>
          <t>Q2-28</t>
        </is>
      </c>
      <c r="J4" s="23" t="inlineStr">
        <is>
          <t>Q3-28</t>
        </is>
      </c>
    </row>
    <row r="5">
      <c r="A5" s="2" t="inlineStr">
        <is>
          <t>alternatives: average AUS</t>
        </is>
      </c>
      <c r="C5" s="27">
        <f>(AUM_Rollforward!C8+AUM_Rollforward!C12)/2</f>
        <v/>
      </c>
      <c r="D5" s="27">
        <f>(AUM_Rollforward!D8+AUM_Rollforward!D12)/2</f>
        <v/>
      </c>
      <c r="E5" s="27">
        <f>(AUM_Rollforward!E8+AUM_Rollforward!E12)/2</f>
        <v/>
      </c>
      <c r="F5" s="27">
        <f>(AUM_Rollforward!F8+AUM_Rollforward!F12)/2</f>
        <v/>
      </c>
      <c r="G5" s="27">
        <f>(AUM_Rollforward!G8+AUM_Rollforward!G12)/2</f>
        <v/>
      </c>
      <c r="H5" s="27">
        <f>(AUM_Rollforward!H8+AUM_Rollforward!H12)/2</f>
        <v/>
      </c>
      <c r="I5" s="27">
        <f>(AUM_Rollforward!I8+AUM_Rollforward!I12)/2</f>
        <v/>
      </c>
      <c r="J5" s="27">
        <f>(AUM_Rollforward!J8+AUM_Rollforward!J12)/2</f>
        <v/>
      </c>
    </row>
    <row r="6">
      <c r="A6" s="2" t="inlineStr">
        <is>
          <t>alternatives: annual fee yield</t>
        </is>
      </c>
      <c r="C6" s="28">
        <f>Inputs!$J$13*(1-Inputs!$E$13)^(0.25*C$2)</f>
        <v/>
      </c>
      <c r="D6" s="28">
        <f>Inputs!$J$13*(1-Inputs!$E$13)^(0.25*D$2)</f>
        <v/>
      </c>
      <c r="E6" s="28">
        <f>Inputs!$J$13*(1-Inputs!$E$13)^(0.25*E$2)</f>
        <v/>
      </c>
      <c r="F6" s="28">
        <f>Inputs!$J$13*(1-Inputs!$E$13)^(0.25*F$2)</f>
        <v/>
      </c>
      <c r="G6" s="28">
        <f>Inputs!$J$13*(1-Inputs!$E$13)^(0.25*G$2)</f>
        <v/>
      </c>
      <c r="H6" s="28">
        <f>Inputs!$J$13*(1-Inputs!$E$13)^(0.25*H$2)</f>
        <v/>
      </c>
      <c r="I6" s="28">
        <f>Inputs!$J$13*(1-Inputs!$E$13)^(0.25*I$2)</f>
        <v/>
      </c>
      <c r="J6" s="28">
        <f>Inputs!$J$13*(1-Inputs!$E$13)^(0.25*J$2)</f>
        <v/>
      </c>
    </row>
    <row r="7">
      <c r="A7" s="2" t="inlineStr">
        <is>
          <t>alternatives: management fees</t>
        </is>
      </c>
      <c r="C7" s="18">
        <f>C5*C6/4</f>
        <v/>
      </c>
      <c r="D7" s="18">
        <f>D5*D6/4</f>
        <v/>
      </c>
      <c r="E7" s="18">
        <f>E5*E6/4</f>
        <v/>
      </c>
      <c r="F7" s="18">
        <f>F5*F6/4</f>
        <v/>
      </c>
      <c r="G7" s="18">
        <f>G5*G6/4</f>
        <v/>
      </c>
      <c r="H7" s="18">
        <f>H5*H6/4</f>
        <v/>
      </c>
      <c r="I7" s="18">
        <f>I5*I6/4</f>
        <v/>
      </c>
      <c r="J7" s="18">
        <f>J5*J6/4</f>
        <v/>
      </c>
    </row>
    <row r="8">
      <c r="A8" s="2" t="inlineStr">
        <is>
          <t>equity: average AUS</t>
        </is>
      </c>
      <c r="C8" s="27">
        <f>(AUM_Rollforward!C14+AUM_Rollforward!C18)/2</f>
        <v/>
      </c>
      <c r="D8" s="27">
        <f>(AUM_Rollforward!D14+AUM_Rollforward!D18)/2</f>
        <v/>
      </c>
      <c r="E8" s="27">
        <f>(AUM_Rollforward!E14+AUM_Rollforward!E18)/2</f>
        <v/>
      </c>
      <c r="F8" s="27">
        <f>(AUM_Rollforward!F14+AUM_Rollforward!F18)/2</f>
        <v/>
      </c>
      <c r="G8" s="27">
        <f>(AUM_Rollforward!G14+AUM_Rollforward!G18)/2</f>
        <v/>
      </c>
      <c r="H8" s="27">
        <f>(AUM_Rollforward!H14+AUM_Rollforward!H18)/2</f>
        <v/>
      </c>
      <c r="I8" s="27">
        <f>(AUM_Rollforward!I14+AUM_Rollforward!I18)/2</f>
        <v/>
      </c>
      <c r="J8" s="27">
        <f>(AUM_Rollforward!J14+AUM_Rollforward!J18)/2</f>
        <v/>
      </c>
    </row>
    <row r="9">
      <c r="A9" s="2" t="inlineStr">
        <is>
          <t>equity: annual fee yield</t>
        </is>
      </c>
      <c r="C9" s="28">
        <f>Inputs!$J$14*(1-Inputs!$E$14)^(0.25*C$2)</f>
        <v/>
      </c>
      <c r="D9" s="28">
        <f>Inputs!$J$14*(1-Inputs!$E$14)^(0.25*D$2)</f>
        <v/>
      </c>
      <c r="E9" s="28">
        <f>Inputs!$J$14*(1-Inputs!$E$14)^(0.25*E$2)</f>
        <v/>
      </c>
      <c r="F9" s="28">
        <f>Inputs!$J$14*(1-Inputs!$E$14)^(0.25*F$2)</f>
        <v/>
      </c>
      <c r="G9" s="28">
        <f>Inputs!$J$14*(1-Inputs!$E$14)^(0.25*G$2)</f>
        <v/>
      </c>
      <c r="H9" s="28">
        <f>Inputs!$J$14*(1-Inputs!$E$14)^(0.25*H$2)</f>
        <v/>
      </c>
      <c r="I9" s="28">
        <f>Inputs!$J$14*(1-Inputs!$E$14)^(0.25*I$2)</f>
        <v/>
      </c>
      <c r="J9" s="28">
        <f>Inputs!$J$14*(1-Inputs!$E$14)^(0.25*J$2)</f>
        <v/>
      </c>
    </row>
    <row r="10">
      <c r="A10" s="2" t="inlineStr">
        <is>
          <t>equity: management fees</t>
        </is>
      </c>
      <c r="C10" s="18">
        <f>C8*C9/4</f>
        <v/>
      </c>
      <c r="D10" s="18">
        <f>D8*D9/4</f>
        <v/>
      </c>
      <c r="E10" s="18">
        <f>E8*E9/4</f>
        <v/>
      </c>
      <c r="F10" s="18">
        <f>F8*F9/4</f>
        <v/>
      </c>
      <c r="G10" s="18">
        <f>G8*G9/4</f>
        <v/>
      </c>
      <c r="H10" s="18">
        <f>H8*H9/4</f>
        <v/>
      </c>
      <c r="I10" s="18">
        <f>I8*I9/4</f>
        <v/>
      </c>
      <c r="J10" s="18">
        <f>J8*J9/4</f>
        <v/>
      </c>
    </row>
    <row r="11">
      <c r="A11" s="2" t="inlineStr">
        <is>
          <t>fixed_income: average AUS</t>
        </is>
      </c>
      <c r="C11" s="27">
        <f>(AUM_Rollforward!C20+AUM_Rollforward!C24)/2</f>
        <v/>
      </c>
      <c r="D11" s="27">
        <f>(AUM_Rollforward!D20+AUM_Rollforward!D24)/2</f>
        <v/>
      </c>
      <c r="E11" s="27">
        <f>(AUM_Rollforward!E20+AUM_Rollforward!E24)/2</f>
        <v/>
      </c>
      <c r="F11" s="27">
        <f>(AUM_Rollforward!F20+AUM_Rollforward!F24)/2</f>
        <v/>
      </c>
      <c r="G11" s="27">
        <f>(AUM_Rollforward!G20+AUM_Rollforward!G24)/2</f>
        <v/>
      </c>
      <c r="H11" s="27">
        <f>(AUM_Rollforward!H20+AUM_Rollforward!H24)/2</f>
        <v/>
      </c>
      <c r="I11" s="27">
        <f>(AUM_Rollforward!I20+AUM_Rollforward!I24)/2</f>
        <v/>
      </c>
      <c r="J11" s="27">
        <f>(AUM_Rollforward!J20+AUM_Rollforward!J24)/2</f>
        <v/>
      </c>
    </row>
    <row r="12">
      <c r="A12" s="2" t="inlineStr">
        <is>
          <t>fixed_income: annual fee yield</t>
        </is>
      </c>
      <c r="C12" s="28">
        <f>Inputs!$J$15*(1-Inputs!$E$15)^(0.25*C$2)</f>
        <v/>
      </c>
      <c r="D12" s="28">
        <f>Inputs!$J$15*(1-Inputs!$E$15)^(0.25*D$2)</f>
        <v/>
      </c>
      <c r="E12" s="28">
        <f>Inputs!$J$15*(1-Inputs!$E$15)^(0.25*E$2)</f>
        <v/>
      </c>
      <c r="F12" s="28">
        <f>Inputs!$J$15*(1-Inputs!$E$15)^(0.25*F$2)</f>
        <v/>
      </c>
      <c r="G12" s="28">
        <f>Inputs!$J$15*(1-Inputs!$E$15)^(0.25*G$2)</f>
        <v/>
      </c>
      <c r="H12" s="28">
        <f>Inputs!$J$15*(1-Inputs!$E$15)^(0.25*H$2)</f>
        <v/>
      </c>
      <c r="I12" s="28">
        <f>Inputs!$J$15*(1-Inputs!$E$15)^(0.25*I$2)</f>
        <v/>
      </c>
      <c r="J12" s="28">
        <f>Inputs!$J$15*(1-Inputs!$E$15)^(0.25*J$2)</f>
        <v/>
      </c>
    </row>
    <row r="13">
      <c r="A13" s="2" t="inlineStr">
        <is>
          <t>fixed_income: management fees</t>
        </is>
      </c>
      <c r="C13" s="18">
        <f>C11*C12/4</f>
        <v/>
      </c>
      <c r="D13" s="18">
        <f>D11*D12/4</f>
        <v/>
      </c>
      <c r="E13" s="18">
        <f>E11*E12/4</f>
        <v/>
      </c>
      <c r="F13" s="18">
        <f>F11*F12/4</f>
        <v/>
      </c>
      <c r="G13" s="18">
        <f>G11*G12/4</f>
        <v/>
      </c>
      <c r="H13" s="18">
        <f>H11*H12/4</f>
        <v/>
      </c>
      <c r="I13" s="18">
        <f>I11*I12/4</f>
        <v/>
      </c>
      <c r="J13" s="18">
        <f>J11*J12/4</f>
        <v/>
      </c>
    </row>
    <row r="14">
      <c r="A14" s="2" t="inlineStr">
        <is>
          <t>liquidity: average AUS</t>
        </is>
      </c>
      <c r="C14" s="27">
        <f>(AUM_Rollforward!C26+AUM_Rollforward!C30)/2</f>
        <v/>
      </c>
      <c r="D14" s="27">
        <f>(AUM_Rollforward!D26+AUM_Rollforward!D30)/2</f>
        <v/>
      </c>
      <c r="E14" s="27">
        <f>(AUM_Rollforward!E26+AUM_Rollforward!E30)/2</f>
        <v/>
      </c>
      <c r="F14" s="27">
        <f>(AUM_Rollforward!F26+AUM_Rollforward!F30)/2</f>
        <v/>
      </c>
      <c r="G14" s="27">
        <f>(AUM_Rollforward!G26+AUM_Rollforward!G30)/2</f>
        <v/>
      </c>
      <c r="H14" s="27">
        <f>(AUM_Rollforward!H26+AUM_Rollforward!H30)/2</f>
        <v/>
      </c>
      <c r="I14" s="27">
        <f>(AUM_Rollforward!I26+AUM_Rollforward!I30)/2</f>
        <v/>
      </c>
      <c r="J14" s="27">
        <f>(AUM_Rollforward!J26+AUM_Rollforward!J30)/2</f>
        <v/>
      </c>
    </row>
    <row r="15">
      <c r="A15" s="2" t="inlineStr">
        <is>
          <t>liquidity: annual fee yield</t>
        </is>
      </c>
      <c r="C15" s="28">
        <f>Inputs!$J$16*(1-Inputs!$E$16)^(0.25*C$2)</f>
        <v/>
      </c>
      <c r="D15" s="28">
        <f>Inputs!$J$16*(1-Inputs!$E$16)^(0.25*D$2)</f>
        <v/>
      </c>
      <c r="E15" s="28">
        <f>Inputs!$J$16*(1-Inputs!$E$16)^(0.25*E$2)</f>
        <v/>
      </c>
      <c r="F15" s="28">
        <f>Inputs!$J$16*(1-Inputs!$E$16)^(0.25*F$2)</f>
        <v/>
      </c>
      <c r="G15" s="28">
        <f>Inputs!$J$16*(1-Inputs!$E$16)^(0.25*G$2)</f>
        <v/>
      </c>
      <c r="H15" s="28">
        <f>Inputs!$J$16*(1-Inputs!$E$16)^(0.25*H$2)</f>
        <v/>
      </c>
      <c r="I15" s="28">
        <f>Inputs!$J$16*(1-Inputs!$E$16)^(0.25*I$2)</f>
        <v/>
      </c>
      <c r="J15" s="28">
        <f>Inputs!$J$16*(1-Inputs!$E$16)^(0.25*J$2)</f>
        <v/>
      </c>
    </row>
    <row r="16">
      <c r="A16" s="2" t="inlineStr">
        <is>
          <t>liquidity: management fees</t>
        </is>
      </c>
      <c r="C16" s="18">
        <f>C14*C15/4</f>
        <v/>
      </c>
      <c r="D16" s="18">
        <f>D14*D15/4</f>
        <v/>
      </c>
      <c r="E16" s="18">
        <f>E14*E15/4</f>
        <v/>
      </c>
      <c r="F16" s="18">
        <f>F14*F15/4</f>
        <v/>
      </c>
      <c r="G16" s="18">
        <f>G14*G15/4</f>
        <v/>
      </c>
      <c r="H16" s="18">
        <f>H14*H15/4</f>
        <v/>
      </c>
      <c r="I16" s="18">
        <f>I14*I15/4</f>
        <v/>
      </c>
      <c r="J16" s="18">
        <f>J14*J15/4</f>
        <v/>
      </c>
    </row>
    <row r="17">
      <c r="A17" s="6" t="inlineStr">
        <is>
          <t>Total management &amp; other fees</t>
        </is>
      </c>
      <c r="C17" s="18">
        <f>C7+C10+C13+C16</f>
        <v/>
      </c>
      <c r="D17" s="18">
        <f>D7+D10+D13+D16</f>
        <v/>
      </c>
      <c r="E17" s="18">
        <f>E7+E10+E13+E16</f>
        <v/>
      </c>
      <c r="F17" s="18">
        <f>F7+F10+F13+F16</f>
        <v/>
      </c>
      <c r="G17" s="18">
        <f>G7+G10+G13+G16</f>
        <v/>
      </c>
      <c r="H17" s="18">
        <f>H7+H10+H13+H16</f>
        <v/>
      </c>
      <c r="I17" s="18">
        <f>I7+I10+I13+I16</f>
        <v/>
      </c>
      <c r="J17" s="18">
        <f>J7+J10+J13+J16</f>
        <v/>
      </c>
    </row>
    <row r="18">
      <c r="A18" s="2" t="inlineStr">
        <is>
          <t>Incentive seasonality weight</t>
        </is>
      </c>
      <c r="C18" s="29">
        <f>INDEX(Inputs!$B$31:$B$34,AUM_Rollforward!C$5)</f>
        <v/>
      </c>
      <c r="D18" s="29">
        <f>INDEX(Inputs!$B$31:$B$34,AUM_Rollforward!D$5)</f>
        <v/>
      </c>
      <c r="E18" s="29">
        <f>INDEX(Inputs!$B$31:$B$34,AUM_Rollforward!E$5)</f>
        <v/>
      </c>
      <c r="F18" s="29">
        <f>INDEX(Inputs!$B$31:$B$34,AUM_Rollforward!F$5)</f>
        <v/>
      </c>
      <c r="G18" s="29">
        <f>INDEX(Inputs!$B$31:$B$34,AUM_Rollforward!G$5)</f>
        <v/>
      </c>
      <c r="H18" s="29">
        <f>INDEX(Inputs!$B$31:$B$34,AUM_Rollforward!H$5)</f>
        <v/>
      </c>
      <c r="I18" s="29">
        <f>INDEX(Inputs!$B$31:$B$34,AUM_Rollforward!I$5)</f>
        <v/>
      </c>
      <c r="J18" s="29">
        <f>INDEX(Inputs!$B$31:$B$34,AUM_Rollforward!J$5)</f>
        <v/>
      </c>
    </row>
    <row r="19">
      <c r="A19" s="2" t="inlineStr">
        <is>
          <t>Incentive fees</t>
        </is>
      </c>
      <c r="C19" s="30">
        <f>Inputs!$B$30*C5*C18*Scenarios!C$12</f>
        <v/>
      </c>
      <c r="D19" s="30">
        <f>Inputs!$B$30*D5*D18*Scenarios!D$12</f>
        <v/>
      </c>
      <c r="E19" s="30">
        <f>Inputs!$B$30*E5*E18*Scenarios!E$12</f>
        <v/>
      </c>
      <c r="F19" s="30">
        <f>Inputs!$B$30*F5*F18*Scenarios!F$12</f>
        <v/>
      </c>
      <c r="G19" s="30">
        <f>Inputs!$B$30*G5*G18*Scenarios!G$12</f>
        <v/>
      </c>
      <c r="H19" s="30">
        <f>Inputs!$B$30*H5*H18*Scenarios!H$12</f>
        <v/>
      </c>
      <c r="I19" s="30">
        <f>Inputs!$B$30*I5*I18*Scenarios!I$12</f>
        <v/>
      </c>
      <c r="J19" s="30">
        <f>Inputs!$B$30*J5*J18*Scenarios!J$12</f>
        <v/>
      </c>
    </row>
    <row r="20">
      <c r="A20" s="2" t="inlineStr">
        <is>
          <t>Private banking &amp; lending</t>
        </is>
      </c>
      <c r="C20" s="30">
        <f>Inputs!$B$5*(1+Inputs!$B$25)^(C$2/4)*(1+Inputs!$B$24*(Scenarios!C$7-Inputs!$B$26)/Inputs!$B$23)</f>
        <v/>
      </c>
      <c r="D20" s="30">
        <f>Inputs!$B$5*(1+Inputs!$B$25)^(D$2/4)*(1+Inputs!$B$24*(Scenarios!D$7-Inputs!$B$26)/Inputs!$B$23)</f>
        <v/>
      </c>
      <c r="E20" s="30">
        <f>Inputs!$B$5*(1+Inputs!$B$25)^(E$2/4)*(1+Inputs!$B$24*(Scenarios!E$7-Inputs!$B$26)/Inputs!$B$23)</f>
        <v/>
      </c>
      <c r="F20" s="30">
        <f>Inputs!$B$5*(1+Inputs!$B$25)^(F$2/4)*(1+Inputs!$B$24*(Scenarios!F$7-Inputs!$B$26)/Inputs!$B$23)</f>
        <v/>
      </c>
      <c r="G20" s="30">
        <f>Inputs!$B$5*(1+Inputs!$B$25)^(G$2/4)*(1+Inputs!$B$24*(Scenarios!G$7-Inputs!$B$26)/Inputs!$B$23)</f>
        <v/>
      </c>
      <c r="H20" s="30">
        <f>Inputs!$B$5*(1+Inputs!$B$25)^(H$2/4)*(1+Inputs!$B$24*(Scenarios!H$7-Inputs!$B$26)/Inputs!$B$23)</f>
        <v/>
      </c>
      <c r="I20" s="30">
        <f>Inputs!$B$5*(1+Inputs!$B$25)^(I$2/4)*(1+Inputs!$B$24*(Scenarios!I$7-Inputs!$B$26)/Inputs!$B$23)</f>
        <v/>
      </c>
      <c r="J20" s="30">
        <f>Inputs!$B$5*(1+Inputs!$B$25)^(J$2/4)*(1+Inputs!$B$24*(Scenarios!J$7-Inputs!$B$26)/Inputs!$B$23)</f>
        <v/>
      </c>
    </row>
    <row r="21">
      <c r="A21" s="2" t="inlineStr">
        <is>
          <t>Investments</t>
        </is>
      </c>
      <c r="C21" s="30">
        <f>Inputs!$B$6*Scenarios!C$13</f>
        <v/>
      </c>
      <c r="D21" s="30">
        <f>Inputs!$B$6*Scenarios!D$13</f>
        <v/>
      </c>
      <c r="E21" s="30">
        <f>Inputs!$B$6*Scenarios!E$13</f>
        <v/>
      </c>
      <c r="F21" s="30">
        <f>Inputs!$B$6*Scenarios!F$13</f>
        <v/>
      </c>
      <c r="G21" s="30">
        <f>Inputs!$B$6*Scenarios!G$13</f>
        <v/>
      </c>
      <c r="H21" s="30">
        <f>Inputs!$B$6*Scenarios!H$13</f>
        <v/>
      </c>
      <c r="I21" s="30">
        <f>Inputs!$B$6*Scenarios!I$13</f>
        <v/>
      </c>
      <c r="J21" s="30">
        <f>Inputs!$B$6*Scenarios!J$13</f>
        <v/>
      </c>
    </row>
    <row r="22">
      <c r="A22" s="6" t="inlineStr">
        <is>
          <t>Net revenues</t>
        </is>
      </c>
      <c r="C22" s="18">
        <f>C17+C19+C20+C21</f>
        <v/>
      </c>
      <c r="D22" s="18">
        <f>D17+D19+D20+D21</f>
        <v/>
      </c>
      <c r="E22" s="18">
        <f>E17+E19+E20+E21</f>
        <v/>
      </c>
      <c r="F22" s="18">
        <f>F17+F19+F20+F21</f>
        <v/>
      </c>
      <c r="G22" s="18">
        <f>G17+G19+G20+G21</f>
        <v/>
      </c>
      <c r="H22" s="18">
        <f>H17+H19+H20+H21</f>
        <v/>
      </c>
      <c r="I22" s="18">
        <f>I17+I19+I20+I21</f>
        <v/>
      </c>
      <c r="J22" s="18">
        <f>J17+J19+J20+J21</f>
        <v/>
      </c>
    </row>
    <row r="23">
      <c r="A23" s="2" t="inlineStr">
        <is>
          <t>Total average AUS</t>
        </is>
      </c>
      <c r="C23" s="13">
        <f>C5+C8+C11+C14</f>
        <v/>
      </c>
      <c r="D23" s="13">
        <f>D5+D8+D11+D14</f>
        <v/>
      </c>
      <c r="E23" s="13">
        <f>E5+E8+E11+E14</f>
        <v/>
      </c>
      <c r="F23" s="13">
        <f>F5+F8+F11+F14</f>
        <v/>
      </c>
      <c r="G23" s="13">
        <f>G5+G8+G11+G14</f>
        <v/>
      </c>
      <c r="H23" s="13">
        <f>H5+H8+H11+H14</f>
        <v/>
      </c>
      <c r="I23" s="13">
        <f>I5+I8+I11+I14</f>
        <v/>
      </c>
      <c r="J23" s="13">
        <f>J5+J8+J11+J14</f>
        <v/>
      </c>
    </row>
    <row r="24">
      <c r="A24" s="2" t="inlineStr">
        <is>
          <t>Effective fee yield (bps)</t>
        </is>
      </c>
      <c r="C24" s="22">
        <f>C17*4/C23*10000</f>
        <v/>
      </c>
      <c r="D24" s="22">
        <f>D17*4/D23*10000</f>
        <v/>
      </c>
      <c r="E24" s="22">
        <f>E17*4/E23*10000</f>
        <v/>
      </c>
      <c r="F24" s="22">
        <f>F17*4/F23*10000</f>
        <v/>
      </c>
      <c r="G24" s="22">
        <f>G17*4/G23*10000</f>
        <v/>
      </c>
      <c r="H24" s="22">
        <f>H17*4/H23*10000</f>
        <v/>
      </c>
      <c r="I24" s="22">
        <f>I17*4/I23*10000</f>
        <v/>
      </c>
      <c r="J24" s="22">
        <f>J17*4/J23*10000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6" t="inlineStr">
        <is>
          <t>Expenses ($m, shown positive)</t>
        </is>
      </c>
    </row>
    <row r="2">
      <c r="A2" s="2" t="inlineStr">
        <is>
          <t>t (quarters ahead)</t>
        </is>
      </c>
      <c r="C2" s="12" t="n">
        <v>1</v>
      </c>
      <c r="D2" s="12" t="n">
        <v>2</v>
      </c>
      <c r="E2" s="12" t="n">
        <v>3</v>
      </c>
      <c r="F2" s="12" t="n">
        <v>4</v>
      </c>
      <c r="G2" s="12" t="n">
        <v>5</v>
      </c>
      <c r="H2" s="12" t="n">
        <v>6</v>
      </c>
      <c r="I2" s="12" t="n">
        <v>7</v>
      </c>
      <c r="J2" s="12" t="n">
        <v>8</v>
      </c>
    </row>
    <row r="3">
      <c r="A3" s="7" t="inlineStr">
        <is>
          <t>Line</t>
        </is>
      </c>
      <c r="B3" s="7" t="inlineStr"/>
      <c r="C3" s="7" t="inlineStr">
        <is>
          <t>t1</t>
        </is>
      </c>
      <c r="D3" s="7" t="inlineStr">
        <is>
          <t>t2</t>
        </is>
      </c>
      <c r="E3" s="7" t="inlineStr">
        <is>
          <t>t3</t>
        </is>
      </c>
      <c r="F3" s="7" t="inlineStr">
        <is>
          <t>t4</t>
        </is>
      </c>
      <c r="G3" s="7" t="inlineStr">
        <is>
          <t>t5</t>
        </is>
      </c>
      <c r="H3" s="7" t="inlineStr">
        <is>
          <t>t6</t>
        </is>
      </c>
      <c r="I3" s="7" t="inlineStr">
        <is>
          <t>t7</t>
        </is>
      </c>
      <c r="J3" s="7" t="inlineStr">
        <is>
          <t>t8</t>
        </is>
      </c>
    </row>
    <row r="4">
      <c r="C4" s="23" t="inlineStr">
        <is>
          <t>Q4-26</t>
        </is>
      </c>
      <c r="D4" s="23" t="inlineStr">
        <is>
          <t>Q1-26</t>
        </is>
      </c>
      <c r="E4" s="23" t="inlineStr">
        <is>
          <t>Q2-27</t>
        </is>
      </c>
      <c r="F4" s="23" t="inlineStr">
        <is>
          <t>Q3-27</t>
        </is>
      </c>
      <c r="G4" s="23" t="inlineStr">
        <is>
          <t>Q4-27</t>
        </is>
      </c>
      <c r="H4" s="23" t="inlineStr">
        <is>
          <t>Q1-27</t>
        </is>
      </c>
      <c r="I4" s="23" t="inlineStr">
        <is>
          <t>Q2-28</t>
        </is>
      </c>
      <c r="J4" s="23" t="inlineStr">
        <is>
          <t>Q3-28</t>
        </is>
      </c>
    </row>
    <row r="5">
      <c r="A5" s="2" t="inlineStr">
        <is>
          <t>Compensation = MAX(fixed floor, ratio x net revenue)</t>
        </is>
      </c>
      <c r="C5" s="30">
        <f>MAX(Inputs!$B$28,Inputs!$B$19*Revenue!C22)</f>
        <v/>
      </c>
      <c r="D5" s="30">
        <f>MAX(Inputs!$B$28,Inputs!$B$19*Revenue!D22)</f>
        <v/>
      </c>
      <c r="E5" s="30">
        <f>MAX(Inputs!$B$28,Inputs!$B$19*Revenue!E22)</f>
        <v/>
      </c>
      <c r="F5" s="30">
        <f>MAX(Inputs!$B$28,Inputs!$B$19*Revenue!F22)</f>
        <v/>
      </c>
      <c r="G5" s="30">
        <f>MAX(Inputs!$B$28,Inputs!$B$19*Revenue!G22)</f>
        <v/>
      </c>
      <c r="H5" s="30">
        <f>MAX(Inputs!$B$28,Inputs!$B$19*Revenue!H22)</f>
        <v/>
      </c>
      <c r="I5" s="30">
        <f>MAX(Inputs!$B$28,Inputs!$B$19*Revenue!I22)</f>
        <v/>
      </c>
      <c r="J5" s="30">
        <f>MAX(Inputs!$B$28,Inputs!$B$19*Revenue!J22)</f>
        <v/>
      </c>
    </row>
    <row r="6">
      <c r="A6" s="2" t="inlineStr">
        <is>
          <t>Non-compensation</t>
        </is>
      </c>
      <c r="C6" s="30">
        <f>Inputs!$B$29*(1+Inputs!$B$22)^(C$2/4)+Inputs!$B$21*Revenue!C22</f>
        <v/>
      </c>
      <c r="D6" s="30">
        <f>Inputs!$B$29*(1+Inputs!$B$22)^(D$2/4)+Inputs!$B$21*Revenue!D22</f>
        <v/>
      </c>
      <c r="E6" s="30">
        <f>Inputs!$B$29*(1+Inputs!$B$22)^(E$2/4)+Inputs!$B$21*Revenue!E22</f>
        <v/>
      </c>
      <c r="F6" s="30">
        <f>Inputs!$B$29*(1+Inputs!$B$22)^(F$2/4)+Inputs!$B$21*Revenue!F22</f>
        <v/>
      </c>
      <c r="G6" s="30">
        <f>Inputs!$B$29*(1+Inputs!$B$22)^(G$2/4)+Inputs!$B$21*Revenue!G22</f>
        <v/>
      </c>
      <c r="H6" s="30">
        <f>Inputs!$B$29*(1+Inputs!$B$22)^(H$2/4)+Inputs!$B$21*Revenue!H22</f>
        <v/>
      </c>
      <c r="I6" s="30">
        <f>Inputs!$B$29*(1+Inputs!$B$22)^(I$2/4)+Inputs!$B$21*Revenue!I22</f>
        <v/>
      </c>
      <c r="J6" s="30">
        <f>Inputs!$B$29*(1+Inputs!$B$22)^(J$2/4)+Inputs!$B$21*Revenue!J22</f>
        <v/>
      </c>
    </row>
    <row r="7">
      <c r="A7" s="2" t="inlineStr">
        <is>
          <t>Provision for credit losses</t>
        </is>
      </c>
      <c r="C7" s="30">
        <f>Inputs!$B$9*Scenarios!C$14</f>
        <v/>
      </c>
      <c r="D7" s="30">
        <f>Inputs!$B$9*Scenarios!D$14</f>
        <v/>
      </c>
      <c r="E7" s="30">
        <f>Inputs!$B$9*Scenarios!E$14</f>
        <v/>
      </c>
      <c r="F7" s="30">
        <f>Inputs!$B$9*Scenarios!F$14</f>
        <v/>
      </c>
      <c r="G7" s="30">
        <f>Inputs!$B$9*Scenarios!G$14</f>
        <v/>
      </c>
      <c r="H7" s="30">
        <f>Inputs!$B$9*Scenarios!H$14</f>
        <v/>
      </c>
      <c r="I7" s="30">
        <f>Inputs!$B$9*Scenarios!I$14</f>
        <v/>
      </c>
      <c r="J7" s="30">
        <f>Inputs!$B$9*Scenarios!J$14</f>
        <v/>
      </c>
    </row>
    <row r="8">
      <c r="A8" s="6" t="inlineStr">
        <is>
          <t>Total costs incl. provision</t>
        </is>
      </c>
      <c r="C8" s="18">
        <f>SUM(C5:C7)</f>
        <v/>
      </c>
      <c r="D8" s="18">
        <f>SUM(D5:D7)</f>
        <v/>
      </c>
      <c r="E8" s="18">
        <f>SUM(E5:E7)</f>
        <v/>
      </c>
      <c r="F8" s="18">
        <f>SUM(F5:F7)</f>
        <v/>
      </c>
      <c r="G8" s="18">
        <f>SUM(G5:G7)</f>
        <v/>
      </c>
      <c r="H8" s="18">
        <f>SUM(H5:H7)</f>
        <v/>
      </c>
      <c r="I8" s="18">
        <f>SUM(I5:I7)</f>
        <v/>
      </c>
      <c r="J8" s="18">
        <f>SUM(J5:J7)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6" t="inlineStr">
        <is>
          <t>P&amp;L forecast - selected scenario ($m)</t>
        </is>
      </c>
    </row>
    <row r="2">
      <c r="A2" s="2" t="inlineStr">
        <is>
          <t>Scenario:</t>
        </is>
      </c>
      <c r="B2" s="3">
        <f>Scenarios!B2</f>
        <v/>
      </c>
    </row>
    <row r="3">
      <c r="A3" s="7" t="inlineStr">
        <is>
          <t>Line</t>
        </is>
      </c>
      <c r="B3" s="7" t="inlineStr"/>
      <c r="C3" s="7" t="inlineStr">
        <is>
          <t>t1</t>
        </is>
      </c>
      <c r="D3" s="7" t="inlineStr">
        <is>
          <t>t2</t>
        </is>
      </c>
      <c r="E3" s="7" t="inlineStr">
        <is>
          <t>t3</t>
        </is>
      </c>
      <c r="F3" s="7" t="inlineStr">
        <is>
          <t>t4</t>
        </is>
      </c>
      <c r="G3" s="7" t="inlineStr">
        <is>
          <t>t5</t>
        </is>
      </c>
      <c r="H3" s="7" t="inlineStr">
        <is>
          <t>t6</t>
        </is>
      </c>
      <c r="I3" s="7" t="inlineStr">
        <is>
          <t>t7</t>
        </is>
      </c>
      <c r="J3" s="7" t="inlineStr">
        <is>
          <t>t8</t>
        </is>
      </c>
      <c r="K3" s="7" t="inlineStr">
        <is>
          <t>Year 1</t>
        </is>
      </c>
      <c r="L3" s="7" t="inlineStr">
        <is>
          <t>Year 2</t>
        </is>
      </c>
    </row>
    <row r="4">
      <c r="C4" s="23" t="inlineStr">
        <is>
          <t>Q4-26</t>
        </is>
      </c>
      <c r="D4" s="23" t="inlineStr">
        <is>
          <t>Q1-26</t>
        </is>
      </c>
      <c r="E4" s="23" t="inlineStr">
        <is>
          <t>Q2-27</t>
        </is>
      </c>
      <c r="F4" s="23" t="inlineStr">
        <is>
          <t>Q3-27</t>
        </is>
      </c>
      <c r="G4" s="23" t="inlineStr">
        <is>
          <t>Q4-27</t>
        </is>
      </c>
      <c r="H4" s="23" t="inlineStr">
        <is>
          <t>Q1-27</t>
        </is>
      </c>
      <c r="I4" s="23" t="inlineStr">
        <is>
          <t>Q2-28</t>
        </is>
      </c>
      <c r="J4" s="23" t="inlineStr">
        <is>
          <t>Q3-28</t>
        </is>
      </c>
    </row>
    <row r="5">
      <c r="A5" s="6" t="inlineStr">
        <is>
          <t>Net revenues</t>
        </is>
      </c>
      <c r="C5" s="30">
        <f>Revenue!C22</f>
        <v/>
      </c>
      <c r="D5" s="30">
        <f>Revenue!D22</f>
        <v/>
      </c>
      <c r="E5" s="30">
        <f>Revenue!E22</f>
        <v/>
      </c>
      <c r="F5" s="30">
        <f>Revenue!F22</f>
        <v/>
      </c>
      <c r="G5" s="30">
        <f>Revenue!G22</f>
        <v/>
      </c>
      <c r="H5" s="30">
        <f>Revenue!H22</f>
        <v/>
      </c>
      <c r="I5" s="30">
        <f>Revenue!I22</f>
        <v/>
      </c>
      <c r="J5" s="30">
        <f>Revenue!J22</f>
        <v/>
      </c>
      <c r="K5" s="18">
        <f>SUM(C5:F5)</f>
        <v/>
      </c>
      <c r="L5" s="18">
        <f>SUM(G5:J5)</f>
        <v/>
      </c>
    </row>
    <row r="6">
      <c r="A6" s="2" t="inlineStr">
        <is>
          <t xml:space="preserve">  of which investments</t>
        </is>
      </c>
      <c r="C6" s="30">
        <f>Revenue!C21</f>
        <v/>
      </c>
      <c r="D6" s="30">
        <f>Revenue!D21</f>
        <v/>
      </c>
      <c r="E6" s="30">
        <f>Revenue!E21</f>
        <v/>
      </c>
      <c r="F6" s="30">
        <f>Revenue!F21</f>
        <v/>
      </c>
      <c r="G6" s="30">
        <f>Revenue!G21</f>
        <v/>
      </c>
      <c r="H6" s="30">
        <f>Revenue!H21</f>
        <v/>
      </c>
      <c r="I6" s="30">
        <f>Revenue!I21</f>
        <v/>
      </c>
      <c r="J6" s="30">
        <f>Revenue!J21</f>
        <v/>
      </c>
      <c r="K6" s="18">
        <f>SUM(C6:F6)</f>
        <v/>
      </c>
      <c r="L6" s="18">
        <f>SUM(G6:J6)</f>
        <v/>
      </c>
    </row>
    <row r="7">
      <c r="A7" s="2" t="inlineStr">
        <is>
          <t>Compensation</t>
        </is>
      </c>
      <c r="C7" s="30">
        <f>Expenses!C5</f>
        <v/>
      </c>
      <c r="D7" s="30">
        <f>Expenses!D5</f>
        <v/>
      </c>
      <c r="E7" s="30">
        <f>Expenses!E5</f>
        <v/>
      </c>
      <c r="F7" s="30">
        <f>Expenses!F5</f>
        <v/>
      </c>
      <c r="G7" s="30">
        <f>Expenses!G5</f>
        <v/>
      </c>
      <c r="H7" s="30">
        <f>Expenses!H5</f>
        <v/>
      </c>
      <c r="I7" s="30">
        <f>Expenses!I5</f>
        <v/>
      </c>
      <c r="J7" s="30">
        <f>Expenses!J5</f>
        <v/>
      </c>
      <c r="K7" s="18">
        <f>SUM(C7:F7)</f>
        <v/>
      </c>
      <c r="L7" s="18">
        <f>SUM(G7:J7)</f>
        <v/>
      </c>
    </row>
    <row r="8">
      <c r="A8" s="2" t="inlineStr">
        <is>
          <t>Non-compensation</t>
        </is>
      </c>
      <c r="C8" s="30">
        <f>Expenses!C6</f>
        <v/>
      </c>
      <c r="D8" s="30">
        <f>Expenses!D6</f>
        <v/>
      </c>
      <c r="E8" s="30">
        <f>Expenses!E6</f>
        <v/>
      </c>
      <c r="F8" s="30">
        <f>Expenses!F6</f>
        <v/>
      </c>
      <c r="G8" s="30">
        <f>Expenses!G6</f>
        <v/>
      </c>
      <c r="H8" s="30">
        <f>Expenses!H6</f>
        <v/>
      </c>
      <c r="I8" s="30">
        <f>Expenses!I6</f>
        <v/>
      </c>
      <c r="J8" s="30">
        <f>Expenses!J6</f>
        <v/>
      </c>
      <c r="K8" s="18">
        <f>SUM(C8:F8)</f>
        <v/>
      </c>
      <c r="L8" s="18">
        <f>SUM(G8:J8)</f>
        <v/>
      </c>
    </row>
    <row r="9">
      <c r="A9" s="2" t="inlineStr">
        <is>
          <t>Provision for credit losses</t>
        </is>
      </c>
      <c r="C9" s="30">
        <f>Expenses!C7</f>
        <v/>
      </c>
      <c r="D9" s="30">
        <f>Expenses!D7</f>
        <v/>
      </c>
      <c r="E9" s="30">
        <f>Expenses!E7</f>
        <v/>
      </c>
      <c r="F9" s="30">
        <f>Expenses!F7</f>
        <v/>
      </c>
      <c r="G9" s="30">
        <f>Expenses!G7</f>
        <v/>
      </c>
      <c r="H9" s="30">
        <f>Expenses!H7</f>
        <v/>
      </c>
      <c r="I9" s="30">
        <f>Expenses!I7</f>
        <v/>
      </c>
      <c r="J9" s="30">
        <f>Expenses!J7</f>
        <v/>
      </c>
      <c r="K9" s="18">
        <f>SUM(C9:F9)</f>
        <v/>
      </c>
      <c r="L9" s="18">
        <f>SUM(G9:J9)</f>
        <v/>
      </c>
    </row>
    <row r="10">
      <c r="A10" s="6" t="inlineStr">
        <is>
          <t>Pre-tax earnings</t>
        </is>
      </c>
      <c r="C10" s="18">
        <f>C5-C7-C8-C9</f>
        <v/>
      </c>
      <c r="D10" s="18">
        <f>D5-D7-D8-D9</f>
        <v/>
      </c>
      <c r="E10" s="18">
        <f>E5-E7-E8-E9</f>
        <v/>
      </c>
      <c r="F10" s="18">
        <f>F5-F7-F8-F9</f>
        <v/>
      </c>
      <c r="G10" s="18">
        <f>G5-G7-G8-G9</f>
        <v/>
      </c>
      <c r="H10" s="18">
        <f>H5-H7-H8-H9</f>
        <v/>
      </c>
      <c r="I10" s="18">
        <f>I5-I7-I8-I9</f>
        <v/>
      </c>
      <c r="J10" s="18">
        <f>J5-J7-J8-J9</f>
        <v/>
      </c>
      <c r="K10" s="18">
        <f>SUM(C10:F10)</f>
        <v/>
      </c>
      <c r="L10" s="18">
        <f>SUM(G10:J10)</f>
        <v/>
      </c>
    </row>
    <row r="11">
      <c r="A11" s="2" t="inlineStr">
        <is>
          <t>Pre-tax margin</t>
        </is>
      </c>
      <c r="C11" s="21">
        <f>C10/C5</f>
        <v/>
      </c>
      <c r="D11" s="21">
        <f>D10/D5</f>
        <v/>
      </c>
      <c r="E11" s="21">
        <f>E10/E5</f>
        <v/>
      </c>
      <c r="F11" s="21">
        <f>F10/F5</f>
        <v/>
      </c>
      <c r="G11" s="21">
        <f>G10/G5</f>
        <v/>
      </c>
      <c r="H11" s="21">
        <f>H10/H5</f>
        <v/>
      </c>
      <c r="I11" s="21">
        <f>I10/I5</f>
        <v/>
      </c>
      <c r="J11" s="21">
        <f>J10/J5</f>
        <v/>
      </c>
      <c r="K11" s="21">
        <f>K10/K5</f>
        <v/>
      </c>
      <c r="L11" s="21">
        <f>L10/L5</f>
        <v/>
      </c>
    </row>
    <row r="12">
      <c r="A12" s="2" t="inlineStr">
        <is>
          <t>Core pre-tax margin (ex Investments)</t>
        </is>
      </c>
      <c r="C12" s="21">
        <f>(C10-C6)/(C5-C6)</f>
        <v/>
      </c>
      <c r="D12" s="21">
        <f>(D10-D6)/(D5-D6)</f>
        <v/>
      </c>
      <c r="E12" s="21">
        <f>(E10-E6)/(E5-E6)</f>
        <v/>
      </c>
      <c r="F12" s="21">
        <f>(F10-F6)/(F5-F6)</f>
        <v/>
      </c>
      <c r="G12" s="21">
        <f>(G10-G6)/(G5-G6)</f>
        <v/>
      </c>
      <c r="H12" s="21">
        <f>(H10-H6)/(H5-H6)</f>
        <v/>
      </c>
      <c r="I12" s="21">
        <f>(I10-I6)/(I5-I6)</f>
        <v/>
      </c>
      <c r="J12" s="21">
        <f>(J10-J6)/(J5-J6)</f>
        <v/>
      </c>
      <c r="K12" s="21">
        <f>(K10-K6)/(K5-K6)</f>
        <v/>
      </c>
      <c r="L12" s="21">
        <f>(L10-L6)/(L5-L6)</f>
        <v/>
      </c>
    </row>
    <row r="13">
      <c r="A13" s="2" t="inlineStr">
        <is>
          <t>Compensation ratio</t>
        </is>
      </c>
      <c r="C13" s="21">
        <f>C7/C5</f>
        <v/>
      </c>
      <c r="D13" s="21">
        <f>D7/D5</f>
        <v/>
      </c>
      <c r="E13" s="21">
        <f>E7/E5</f>
        <v/>
      </c>
      <c r="F13" s="21">
        <f>F7/F5</f>
        <v/>
      </c>
      <c r="G13" s="21">
        <f>G7/G5</f>
        <v/>
      </c>
      <c r="H13" s="21">
        <f>H7/H5</f>
        <v/>
      </c>
      <c r="I13" s="21">
        <f>I7/I5</f>
        <v/>
      </c>
      <c r="J13" s="21">
        <f>J7/J5</f>
        <v/>
      </c>
      <c r="K13" s="21">
        <f>K7/K5</f>
        <v/>
      </c>
      <c r="L13" s="21">
        <f>L7/L5</f>
        <v/>
      </c>
    </row>
    <row r="14">
      <c r="A14" s="2" t="inlineStr">
        <is>
          <t>Ending AUS</t>
        </is>
      </c>
      <c r="C14" s="27">
        <f>AUM_Rollforward!C35</f>
        <v/>
      </c>
      <c r="D14" s="27">
        <f>AUM_Rollforward!D35</f>
        <v/>
      </c>
      <c r="E14" s="27">
        <f>AUM_Rollforward!E35</f>
        <v/>
      </c>
      <c r="F14" s="27">
        <f>AUM_Rollforward!F35</f>
        <v/>
      </c>
      <c r="G14" s="27">
        <f>AUM_Rollforward!G35</f>
        <v/>
      </c>
      <c r="H14" s="27">
        <f>AUM_Rollforward!H35</f>
        <v/>
      </c>
      <c r="I14" s="27">
        <f>AUM_Rollforward!I35</f>
        <v/>
      </c>
      <c r="J14" s="27">
        <f>AUM_Rollforward!J35</f>
        <v/>
      </c>
    </row>
    <row r="16">
      <c r="A16" s="2" t="inlineStr">
        <is>
          <t>Year-2 vs Year-1 net revenue growth</t>
        </is>
      </c>
      <c r="B16" s="21">
        <f>L5/K5-1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6" t="inlineStr">
        <is>
          <t>Budget vs forecast vs prior year; price-volume-mix fee bridge ($m)</t>
        </is>
      </c>
    </row>
    <row r="3">
      <c r="A3" s="7" t="inlineStr">
        <is>
          <t>Prior-year quarter (T4Q with full P&amp;L)</t>
        </is>
      </c>
      <c r="B3" s="7" t="inlineStr">
        <is>
          <t>Net revenues</t>
        </is>
      </c>
      <c r="C3" s="7" t="inlineStr">
        <is>
          <t>Pre-tax earnings</t>
        </is>
      </c>
    </row>
    <row r="4">
      <c r="A4" s="2" t="inlineStr">
        <is>
          <t>Q ending 2025-09-30</t>
        </is>
      </c>
      <c r="B4" s="8" t="n">
        <v>4399</v>
      </c>
      <c r="C4" s="8" t="n">
        <v>1136</v>
      </c>
    </row>
    <row r="5">
      <c r="A5" s="2" t="inlineStr">
        <is>
          <t>Q ending 2025-12-31</t>
        </is>
      </c>
      <c r="B5" s="8" t="n">
        <v>4823</v>
      </c>
      <c r="C5" s="8" t="n">
        <v>1358</v>
      </c>
    </row>
    <row r="6">
      <c r="A6" s="2" t="inlineStr">
        <is>
          <t>Q ending 2026-03-31</t>
        </is>
      </c>
      <c r="B6" s="8" t="n">
        <v>4078</v>
      </c>
      <c r="C6" s="8" t="n">
        <v>930</v>
      </c>
    </row>
    <row r="7">
      <c r="A7" s="2" t="inlineStr">
        <is>
          <t>Q ending 2026-06-30</t>
        </is>
      </c>
      <c r="B7" s="8" t="n">
        <v>4597</v>
      </c>
      <c r="C7" s="8" t="n">
        <v>1112</v>
      </c>
    </row>
    <row r="8">
      <c r="A8" s="6" t="inlineStr">
        <is>
          <t>Prior-year total</t>
        </is>
      </c>
      <c r="B8" s="18">
        <f>SUM(B4:B7)</f>
        <v/>
      </c>
      <c r="C8" s="18">
        <f>SUM(C4:C7)</f>
        <v/>
      </c>
    </row>
    <row r="10">
      <c r="A10" s="2" t="inlineStr">
        <is>
          <t>Top-down revenue growth target</t>
        </is>
      </c>
      <c r="B10" s="11" t="n">
        <v>0.08</v>
      </c>
      <c r="C10" s="2" t="inlineStr">
        <is>
          <t>UNVERIFIED secondary-source target - confirm from primary material</t>
        </is>
      </c>
    </row>
    <row r="11">
      <c r="A11" s="2" t="inlineStr">
        <is>
          <t>Top-down pre-tax margin target</t>
        </is>
      </c>
      <c r="B11" s="11" t="n">
        <v>0.3</v>
      </c>
    </row>
    <row r="12">
      <c r="A12" s="2" t="inlineStr">
        <is>
          <t>Variance threshold (%)</t>
        </is>
      </c>
      <c r="B12" s="16" t="n">
        <v>0.05</v>
      </c>
    </row>
    <row r="14">
      <c r="A14" s="7" t="inlineStr"/>
      <c r="B14" s="7" t="inlineStr">
        <is>
          <t>Prior year</t>
        </is>
      </c>
      <c r="C14" s="7" t="inlineStr">
        <is>
          <t>Budget (top-down)</t>
        </is>
      </c>
      <c r="D14" s="7" t="inlineStr">
        <is>
          <t>Forecast Year 1</t>
        </is>
      </c>
      <c r="E14" s="7" t="inlineStr">
        <is>
          <t>Variance vs budget</t>
        </is>
      </c>
      <c r="F14" s="7" t="inlineStr">
        <is>
          <t>Variance %</t>
        </is>
      </c>
      <c r="G14" s="7" t="inlineStr">
        <is>
          <t>Flag</t>
        </is>
      </c>
    </row>
    <row r="15">
      <c r="A15" s="2" t="inlineStr">
        <is>
          <t>Net revenues</t>
        </is>
      </c>
      <c r="B15" s="18">
        <f>B8</f>
        <v/>
      </c>
      <c r="C15" s="18">
        <f>B15*(1+B10)</f>
        <v/>
      </c>
      <c r="D15" s="30">
        <f>PnL!K5</f>
        <v/>
      </c>
      <c r="E15" s="18">
        <f>D15-C15</f>
        <v/>
      </c>
      <c r="F15" s="21">
        <f>E15/ABS(C15)</f>
        <v/>
      </c>
      <c r="G15" s="2">
        <f>IF(ABS(F15)&gt;$B$12,"REVIEW - owner commentary required","Within threshold")</f>
        <v/>
      </c>
    </row>
    <row r="16">
      <c r="A16" s="2" t="inlineStr">
        <is>
          <t>Pre-tax earnings</t>
        </is>
      </c>
      <c r="B16" s="18">
        <f>C8</f>
        <v/>
      </c>
      <c r="C16" s="18">
        <f>C15*B11</f>
        <v/>
      </c>
      <c r="D16" s="30">
        <f>PnL!K10</f>
        <v/>
      </c>
      <c r="E16" s="18">
        <f>D16-C16</f>
        <v/>
      </c>
      <c r="F16" s="21">
        <f>E16/ABS(C16)</f>
        <v/>
      </c>
      <c r="G16" s="2">
        <f>IF(ABS(F16)&gt;$B$12,"REVIEW - owner commentary required","Within threshold")</f>
        <v/>
      </c>
    </row>
    <row r="19">
      <c r="A19" s="24" t="inlineStr">
        <is>
          <t>Price-volume-mix bridge of management fees: Year-2 Q4 (t8) vs Year-1 Q4 (t4)</t>
        </is>
      </c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</row>
    <row r="20">
      <c r="A20" s="7" t="inlineStr">
        <is>
          <t>Asset class</t>
        </is>
      </c>
      <c r="B20" s="7" t="inlineStr">
        <is>
          <t>Avg AUS t4</t>
        </is>
      </c>
      <c r="C20" s="7" t="inlineStr">
        <is>
          <t>Fees t4</t>
        </is>
      </c>
      <c r="D20" s="7" t="inlineStr">
        <is>
          <t>Avg AUS t8</t>
        </is>
      </c>
      <c r="E20" s="7" t="inlineStr">
        <is>
          <t>Fees t8</t>
        </is>
      </c>
      <c r="F20" s="7" t="inlineStr">
        <is>
          <t>Yield t4</t>
        </is>
      </c>
      <c r="G20" s="7" t="inlineStr">
        <is>
          <t>Yield t8</t>
        </is>
      </c>
      <c r="H20" s="7" t="inlineStr">
        <is>
          <t>Weight t4</t>
        </is>
      </c>
      <c r="I20" s="7" t="inlineStr">
        <is>
          <t>Weight t8</t>
        </is>
      </c>
    </row>
    <row r="21">
      <c r="A21" s="2" t="inlineStr">
        <is>
          <t>alternatives</t>
        </is>
      </c>
      <c r="B21" s="27">
        <f>Revenue!F5</f>
        <v/>
      </c>
      <c r="C21" s="30">
        <f>Revenue!F7</f>
        <v/>
      </c>
      <c r="D21" s="27">
        <f>Revenue!J5</f>
        <v/>
      </c>
      <c r="E21" s="30">
        <f>Revenue!J7</f>
        <v/>
      </c>
      <c r="F21" s="14">
        <f>C21/B21</f>
        <v/>
      </c>
      <c r="G21" s="14">
        <f>E21/D21</f>
        <v/>
      </c>
      <c r="H21" s="21">
        <f>B21/B$25</f>
        <v/>
      </c>
      <c r="I21" s="21">
        <f>D21/D$25</f>
        <v/>
      </c>
    </row>
    <row r="22">
      <c r="A22" s="2" t="inlineStr">
        <is>
          <t>equity</t>
        </is>
      </c>
      <c r="B22" s="27">
        <f>Revenue!F8</f>
        <v/>
      </c>
      <c r="C22" s="30">
        <f>Revenue!F10</f>
        <v/>
      </c>
      <c r="D22" s="27">
        <f>Revenue!J8</f>
        <v/>
      </c>
      <c r="E22" s="30">
        <f>Revenue!J10</f>
        <v/>
      </c>
      <c r="F22" s="14">
        <f>C22/B22</f>
        <v/>
      </c>
      <c r="G22" s="14">
        <f>E22/D22</f>
        <v/>
      </c>
      <c r="H22" s="21">
        <f>B22/B$25</f>
        <v/>
      </c>
      <c r="I22" s="21">
        <f>D22/D$25</f>
        <v/>
      </c>
    </row>
    <row r="23">
      <c r="A23" s="2" t="inlineStr">
        <is>
          <t>fixed_income</t>
        </is>
      </c>
      <c r="B23" s="27">
        <f>Revenue!F11</f>
        <v/>
      </c>
      <c r="C23" s="30">
        <f>Revenue!F13</f>
        <v/>
      </c>
      <c r="D23" s="27">
        <f>Revenue!J11</f>
        <v/>
      </c>
      <c r="E23" s="30">
        <f>Revenue!J13</f>
        <v/>
      </c>
      <c r="F23" s="14">
        <f>C23/B23</f>
        <v/>
      </c>
      <c r="G23" s="14">
        <f>E23/D23</f>
        <v/>
      </c>
      <c r="H23" s="21">
        <f>B23/B$25</f>
        <v/>
      </c>
      <c r="I23" s="21">
        <f>D23/D$25</f>
        <v/>
      </c>
    </row>
    <row r="24">
      <c r="A24" s="2" t="inlineStr">
        <is>
          <t>liquidity</t>
        </is>
      </c>
      <c r="B24" s="27">
        <f>Revenue!F14</f>
        <v/>
      </c>
      <c r="C24" s="30">
        <f>Revenue!F16</f>
        <v/>
      </c>
      <c r="D24" s="27">
        <f>Revenue!J14</f>
        <v/>
      </c>
      <c r="E24" s="30">
        <f>Revenue!J16</f>
        <v/>
      </c>
      <c r="F24" s="14">
        <f>C24/B24</f>
        <v/>
      </c>
      <c r="G24" s="14">
        <f>E24/D24</f>
        <v/>
      </c>
      <c r="H24" s="21">
        <f>B24/B$25</f>
        <v/>
      </c>
      <c r="I24" s="21">
        <f>D24/D$25</f>
        <v/>
      </c>
    </row>
    <row r="25">
      <c r="A25" s="6" t="inlineStr">
        <is>
          <t>Total</t>
        </is>
      </c>
      <c r="B25" s="18">
        <f>SUM(B21:B24)</f>
        <v/>
      </c>
      <c r="C25" s="18">
        <f>SUM(C21:C24)</f>
        <v/>
      </c>
      <c r="D25" s="18">
        <f>SUM(D21:D24)</f>
        <v/>
      </c>
      <c r="E25" s="18">
        <f>SUM(E21:E24)</f>
        <v/>
      </c>
    </row>
    <row r="27">
      <c r="A27" s="2" t="inlineStr">
        <is>
          <t>Volume effect = (A1-A0) x y0</t>
        </is>
      </c>
      <c r="B27" s="18">
        <f>(D25-B25)*SUMPRODUCT(H21:H24,F21:F24)</f>
        <v/>
      </c>
    </row>
    <row r="28">
      <c r="A28" s="2" t="inlineStr">
        <is>
          <t>Mix effect = A1 x sum((w1-w0) x y0)</t>
        </is>
      </c>
      <c r="B28" s="18">
        <f>D25*SUMPRODUCT(I21:I24-H21:H24,F21:F24)</f>
        <v/>
      </c>
    </row>
    <row r="29">
      <c r="A29" s="2" t="inlineStr">
        <is>
          <t>Rate effect = A1 x sum(w1 x (y1-y0))</t>
        </is>
      </c>
      <c r="B29" s="18">
        <f>D25*SUMPRODUCT(I21:I24,G21:G24-F21:F24)</f>
        <v/>
      </c>
    </row>
    <row r="30">
      <c r="A30" s="6" t="inlineStr">
        <is>
          <t>Total bridge</t>
        </is>
      </c>
      <c r="B30" s="18">
        <f>SUM(B27:B29)</f>
        <v/>
      </c>
    </row>
    <row r="31">
      <c r="A31" s="2" t="inlineStr">
        <is>
          <t>Actual change in fees</t>
        </is>
      </c>
      <c r="B31" s="18">
        <f>E25-C25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6" t="inlineStr">
        <is>
          <t>Fully allocated profitability by business - trailing four quarters ($m) - SYNTHETIC business split</t>
        </is>
      </c>
    </row>
    <row r="2">
      <c r="A2" s="2" t="inlineStr">
        <is>
          <t>Allocation method</t>
        </is>
      </c>
      <c r="B2" s="20" t="inlineStr">
        <is>
          <t>abc</t>
        </is>
      </c>
    </row>
    <row r="4">
      <c r="A4" s="7" t="inlineStr">
        <is>
          <t>Business</t>
        </is>
      </c>
      <c r="B4" s="7" t="inlineStr">
        <is>
          <t>Revenue T4Q</t>
        </is>
      </c>
      <c r="C4" s="7" t="inlineStr">
        <is>
          <t>Contribution T4Q</t>
        </is>
      </c>
      <c r="D4" s="7" t="inlineStr">
        <is>
          <t>revenue</t>
        </is>
      </c>
      <c r="E4" s="7" t="inlineStr">
        <is>
          <t>headcount</t>
        </is>
      </c>
      <c r="F4" s="7" t="inlineStr">
        <is>
          <t>abc</t>
        </is>
      </c>
      <c r="G4" s="7" t="inlineStr">
        <is>
          <t>step_down</t>
        </is>
      </c>
      <c r="H4" s="7" t="inlineStr">
        <is>
          <t>reciprocal</t>
        </is>
      </c>
      <c r="I4" s="7" t="inlineStr">
        <is>
          <t>Selected allocation</t>
        </is>
      </c>
      <c r="J4" s="7" t="inlineStr">
        <is>
          <t>Fully allocated pre-tax</t>
        </is>
      </c>
      <c r="K4" s="7" t="inlineStr">
        <is>
          <t>Fully allocated margin</t>
        </is>
      </c>
      <c r="L4" s="7" t="inlineStr">
        <is>
          <t>Rank</t>
        </is>
      </c>
      <c r="M4" s="7" t="inlineStr">
        <is>
          <t>Contribution margin %</t>
        </is>
      </c>
    </row>
    <row r="5">
      <c r="A5" s="2" t="inlineStr">
        <is>
          <t>PE</t>
        </is>
      </c>
      <c r="B5" s="8" t="n">
        <v>3085.495026791706</v>
      </c>
      <c r="C5" s="8" t="n">
        <v>1438.097701764649</v>
      </c>
      <c r="D5" s="8" t="n">
        <v>803.3178980678773</v>
      </c>
      <c r="E5" s="8" t="n">
        <v>887.0600980914917</v>
      </c>
      <c r="F5" s="8" t="n">
        <v>810.0290094153718</v>
      </c>
      <c r="G5" s="8" t="n">
        <v>800.8429762391819</v>
      </c>
      <c r="H5" s="8" t="n">
        <v>801.660897569485</v>
      </c>
      <c r="I5" s="18">
        <f>INDEX(D5:H5,MATCH($B$2,$D$4:$H$4,0))</f>
        <v/>
      </c>
      <c r="J5" s="18">
        <f>C5-I5</f>
        <v/>
      </c>
      <c r="K5" s="21">
        <f>J5/B5</f>
        <v/>
      </c>
      <c r="L5" s="2">
        <f>RANK(K5,K$5:K$10)</f>
        <v/>
      </c>
      <c r="M5" s="21">
        <f>C5/B5</f>
        <v/>
      </c>
    </row>
    <row r="6">
      <c r="A6" s="2" t="inlineStr">
        <is>
          <t>PWM</t>
        </is>
      </c>
      <c r="B6" s="8" t="n">
        <v>3996.9</v>
      </c>
      <c r="C6" s="8" t="n">
        <v>1664.087460339194</v>
      </c>
      <c r="D6" s="8" t="n">
        <v>1039.80058851167</v>
      </c>
      <c r="E6" s="8" t="n">
        <v>1256.129829048126</v>
      </c>
      <c r="F6" s="8" t="n">
        <v>1197.831160098404</v>
      </c>
      <c r="G6" s="8" t="n">
        <v>1148.774974476977</v>
      </c>
      <c r="H6" s="8" t="n">
        <v>1162.418647317463</v>
      </c>
      <c r="I6" s="18">
        <f>INDEX(D6:H6,MATCH($B$2,$D$4:$H$4,0))</f>
        <v/>
      </c>
      <c r="J6" s="18">
        <f>C6-I6</f>
        <v/>
      </c>
      <c r="K6" s="21">
        <f>J6/B6</f>
        <v/>
      </c>
      <c r="L6" s="2">
        <f>RANK(K6,K$5:K$10)</f>
        <v/>
      </c>
      <c r="M6" s="21">
        <f>C6/B6</f>
        <v/>
      </c>
    </row>
    <row r="7">
      <c r="A7" s="2" t="inlineStr">
        <is>
          <t>PBL</t>
        </is>
      </c>
      <c r="B7" s="8" t="n">
        <v>3160</v>
      </c>
      <c r="C7" s="8" t="n">
        <v>2046.357853093787</v>
      </c>
      <c r="D7" s="8" t="n">
        <v>822.1958726036935</v>
      </c>
      <c r="E7" s="8" t="n">
        <v>564.6534637187303</v>
      </c>
      <c r="F7" s="8" t="n">
        <v>751.4279663336786</v>
      </c>
      <c r="G7" s="8" t="n">
        <v>803.201813070418</v>
      </c>
      <c r="H7" s="8" t="n">
        <v>790.5880128725943</v>
      </c>
      <c r="I7" s="18">
        <f>INDEX(D7:H7,MATCH($B$2,$D$4:$H$4,0))</f>
        <v/>
      </c>
      <c r="J7" s="18">
        <f>C7-I7</f>
        <v/>
      </c>
      <c r="K7" s="21">
        <f>J7/B7</f>
        <v/>
      </c>
      <c r="L7" s="2">
        <f>RANK(K7,K$5:K$10)</f>
        <v/>
      </c>
      <c r="M7" s="21">
        <f>C7/B7</f>
        <v/>
      </c>
    </row>
    <row r="8">
      <c r="A8" s="2" t="inlineStr">
        <is>
          <t>FIMA</t>
        </is>
      </c>
      <c r="B8" s="8" t="n">
        <v>2312.906455156511</v>
      </c>
      <c r="C8" s="8" t="n">
        <v>1138.791729179275</v>
      </c>
      <c r="D8" s="8" t="n">
        <v>601.9879101707099</v>
      </c>
      <c r="E8" s="8" t="n">
        <v>632.2156216800502</v>
      </c>
      <c r="F8" s="8" t="n">
        <v>753.6458727246948</v>
      </c>
      <c r="G8" s="8" t="n">
        <v>751.240604716781</v>
      </c>
      <c r="H8" s="8" t="n">
        <v>751.9667663511592</v>
      </c>
      <c r="I8" s="18">
        <f>INDEX(D8:H8,MATCH($B$2,$D$4:$H$4,0))</f>
        <v/>
      </c>
      <c r="J8" s="18">
        <f>C8-I8</f>
        <v/>
      </c>
      <c r="K8" s="21">
        <f>J8/B8</f>
        <v/>
      </c>
      <c r="L8" s="2">
        <f>RANK(K8,K$5:K$10)</f>
        <v/>
      </c>
      <c r="M8" s="21">
        <f>C8/B8</f>
        <v/>
      </c>
    </row>
    <row r="9">
      <c r="A9" s="2" t="inlineStr">
        <is>
          <t>LIQ</t>
        </is>
      </c>
      <c r="B9" s="8" t="n">
        <v>343.9617177824462</v>
      </c>
      <c r="C9" s="8" t="n">
        <v>214.7294957154298</v>
      </c>
      <c r="D9" s="8" t="n">
        <v>89.56353791787843</v>
      </c>
      <c r="E9" s="8" t="n">
        <v>69.58658111300879</v>
      </c>
      <c r="F9" s="8" t="n">
        <v>283.971447855614</v>
      </c>
      <c r="G9" s="8" t="n">
        <v>302.8058046386294</v>
      </c>
      <c r="H9" s="8" t="n">
        <v>299.0826981631084</v>
      </c>
      <c r="I9" s="18">
        <f>INDEX(D9:H9,MATCH($B$2,$D$4:$H$4,0))</f>
        <v/>
      </c>
      <c r="J9" s="18">
        <f>C9-I9</f>
        <v/>
      </c>
      <c r="K9" s="21">
        <f>J9/B9</f>
        <v/>
      </c>
      <c r="L9" s="2">
        <f>RANK(K9,K$5:K$10)</f>
        <v/>
      </c>
      <c r="M9" s="21">
        <f>C9/B9</f>
        <v/>
      </c>
    </row>
    <row r="10">
      <c r="A10" s="2" t="inlineStr">
        <is>
          <t>ALT</t>
        </is>
      </c>
      <c r="B10" s="8" t="n">
        <v>4997.736800269337</v>
      </c>
      <c r="C10" s="8" t="n">
        <v>2687.535759907664</v>
      </c>
      <c r="D10" s="8" t="n">
        <v>1296.734192728171</v>
      </c>
      <c r="E10" s="8" t="n">
        <v>1243.954406348593</v>
      </c>
      <c r="F10" s="8" t="n">
        <v>856.694543572237</v>
      </c>
      <c r="G10" s="8" t="n">
        <v>846.7338268580123</v>
      </c>
      <c r="H10" s="8" t="n">
        <v>847.8829777261902</v>
      </c>
      <c r="I10" s="18">
        <f>INDEX(D10:H10,MATCH($B$2,$D$4:$H$4,0))</f>
        <v/>
      </c>
      <c r="J10" s="18">
        <f>C10-I10</f>
        <v/>
      </c>
      <c r="K10" s="21">
        <f>J10/B10</f>
        <v/>
      </c>
      <c r="L10" s="2">
        <f>RANK(K10,K$5:K$10)</f>
        <v/>
      </c>
      <c r="M10" s="21">
        <f>C10/B10</f>
        <v/>
      </c>
    </row>
    <row r="11">
      <c r="A11" s="6" t="inlineStr">
        <is>
          <t>Total</t>
        </is>
      </c>
      <c r="B11" s="18">
        <f>SUM(B5:B10)</f>
        <v/>
      </c>
      <c r="C11" s="18">
        <f>SUM(C5:C10)</f>
        <v/>
      </c>
      <c r="D11" s="18">
        <f>SUM(D5:D10)</f>
        <v/>
      </c>
      <c r="E11" s="18">
        <f>SUM(E5:E10)</f>
        <v/>
      </c>
      <c r="F11" s="18">
        <f>SUM(F5:F10)</f>
        <v/>
      </c>
      <c r="G11" s="18">
        <f>SUM(G5:G10)</f>
        <v/>
      </c>
      <c r="H11" s="18">
        <f>SUM(H5:H10)</f>
        <v/>
      </c>
      <c r="I11" s="18">
        <f>SUM(I5:I10)</f>
        <v/>
      </c>
      <c r="J11" s="18">
        <f>SUM(J5:J10)</f>
        <v/>
      </c>
    </row>
    <row r="13">
      <c r="A13" s="2" t="inlineStr">
        <is>
          <t>Public AWM pre-tax earnings, same four quarters</t>
        </is>
      </c>
      <c r="B13" s="8" t="n">
        <v>4536</v>
      </c>
    </row>
    <row r="14">
      <c r="A14" s="2" t="inlineStr">
        <is>
          <t>Reconciliation difference (must be 0)</t>
        </is>
      </c>
      <c r="B14" s="31">
        <f>J11-B13</f>
        <v/>
      </c>
    </row>
    <row r="16">
      <c r="A16" s="2" t="inlineStr">
        <is>
          <t>Businesses whose profit sign flips vs revenue-based method are flagged in the Python report (mart_allocation_rank_sensitivity).</t>
        </is>
      </c>
    </row>
  </sheetData>
  <dataValidations count="1">
    <dataValidation sqref="B2" showDropDown="0" showInputMessage="0" showErrorMessage="0" allowBlank="0" type="list">
      <formula1>"revenue,headcount,abc,step_down,reciprocal"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6" t="inlineStr">
        <is>
          <t>Mandate pricing - marginal vs fully allocated ($m; fees in bps). Cost inputs are SYNTHETIC (M7/M8).</t>
        </is>
      </c>
    </row>
    <row r="4">
      <c r="A4" s="2" t="inlineStr">
        <is>
          <t>Initial AUM ($m)</t>
        </is>
      </c>
      <c r="B4" s="32" t="n">
        <v>1000</v>
      </c>
    </row>
    <row r="5">
      <c r="A5" s="2" t="inlineStr">
        <is>
          <t>Net AUM growth p.a.</t>
        </is>
      </c>
      <c r="B5" s="33" t="n">
        <v>0.06</v>
      </c>
    </row>
    <row r="6">
      <c r="A6" s="2" t="inlineStr">
        <is>
          <t>Annual termination hazard</t>
        </is>
      </c>
      <c r="B6" s="33" t="n">
        <v>0.08</v>
      </c>
    </row>
    <row r="7">
      <c r="A7" s="2" t="inlineStr">
        <is>
          <t>Weibull shape (1 = exponential)</t>
        </is>
      </c>
      <c r="B7" s="32" t="n">
        <v>1</v>
      </c>
    </row>
    <row r="8">
      <c r="A8" s="2" t="inlineStr">
        <is>
          <t>Horizon (years, fixed)</t>
        </is>
      </c>
      <c r="B8" s="32" t="n">
        <v>7</v>
      </c>
    </row>
    <row r="9">
      <c r="A9" s="2" t="inlineStr">
        <is>
          <t>PM FTE</t>
        </is>
      </c>
      <c r="B9" s="32" t="n">
        <v>0.6</v>
      </c>
    </row>
    <row r="10">
      <c r="A10" s="2" t="inlineStr">
        <is>
          <t>Client service FTE</t>
        </is>
      </c>
      <c r="B10" s="32" t="n">
        <v>0.3</v>
      </c>
    </row>
    <row r="11">
      <c r="A11" s="2" t="inlineStr">
        <is>
          <t>Loaded cost per FTE ($m)</t>
        </is>
      </c>
      <c r="B11" s="32" t="n">
        <v>1.201738230778678</v>
      </c>
    </row>
    <row r="12">
      <c r="A12" s="2" t="inlineStr">
        <is>
          <t>Trading / execution (bps)</t>
        </is>
      </c>
      <c r="B12" s="32" t="n">
        <v>1</v>
      </c>
    </row>
    <row r="13">
      <c r="A13" s="2" t="inlineStr">
        <is>
          <t>Custody &amp; admin (bps)</t>
        </is>
      </c>
      <c r="B13" s="32" t="n">
        <v>1.5</v>
      </c>
    </row>
    <row r="14">
      <c r="A14" s="2" t="inlineStr">
        <is>
          <t>Data licences ($m / yr)</t>
        </is>
      </c>
      <c r="B14" s="32" t="n">
        <v>0.05</v>
      </c>
    </row>
    <row r="15">
      <c r="A15" s="2" t="inlineStr">
        <is>
          <t>Onboarding one-off ($m)</t>
        </is>
      </c>
      <c r="B15" s="32" t="n">
        <v>0.25</v>
      </c>
    </row>
    <row r="16">
      <c r="A16" s="2" t="inlineStr">
        <is>
          <t>Sales commission (% of first-year revenue)</t>
        </is>
      </c>
      <c r="B16" s="33" t="n">
        <v>0.15</v>
      </c>
    </row>
    <row r="17">
      <c r="A17" s="2" t="inlineStr">
        <is>
          <t>Seed capital ($m)</t>
        </is>
      </c>
      <c r="B17" s="32" t="n">
        <v>0</v>
      </c>
    </row>
    <row r="18">
      <c r="A18" s="2" t="inlineStr">
        <is>
          <t>Cost of capital</t>
        </is>
      </c>
      <c r="B18" s="33" t="n">
        <v>0.1</v>
      </c>
    </row>
    <row r="19">
      <c r="A19" s="2" t="inlineStr">
        <is>
          <t>Allocated shared cost, ABC rate (bps of AUM)</t>
        </is>
      </c>
      <c r="B19" s="32" t="n">
        <v>8.219472444600424</v>
      </c>
    </row>
    <row r="20">
      <c r="A20" s="2" t="inlineStr">
        <is>
          <t>Discount rate</t>
        </is>
      </c>
      <c r="B20" s="33" t="n">
        <v>0.09</v>
      </c>
    </row>
    <row r="21">
      <c r="A21" s="2" t="inlineStr">
        <is>
          <t>Fee schedule scale lambda (Goal Seek this to hit profit = 0)</t>
        </is>
      </c>
      <c r="B21" s="32" t="n">
        <v>1</v>
      </c>
    </row>
    <row r="22">
      <c r="A22" s="2" t="inlineStr">
        <is>
          <t>Weibull scale (from hazard)</t>
        </is>
      </c>
      <c r="B22" s="34">
        <f>1/(-LN(1-B6))^(1/B7)</f>
        <v/>
      </c>
    </row>
    <row r="23">
      <c r="A23" s="7" t="inlineStr">
        <is>
          <t>Fee tiers: lower bound $m</t>
        </is>
      </c>
      <c r="B23" s="7" t="inlineStr">
        <is>
          <t>Upper bound $m</t>
        </is>
      </c>
      <c r="C23" s="7" t="inlineStr">
        <is>
          <t>bps</t>
        </is>
      </c>
    </row>
    <row r="24">
      <c r="A24" s="12" t="n">
        <v>0</v>
      </c>
      <c r="B24" s="12" t="n">
        <v>250</v>
      </c>
      <c r="C24" s="12" t="n">
        <v>40</v>
      </c>
    </row>
    <row r="25">
      <c r="A25" s="12" t="n">
        <v>250</v>
      </c>
      <c r="B25" s="12" t="n">
        <v>500</v>
      </c>
      <c r="C25" s="12" t="n">
        <v>32</v>
      </c>
    </row>
    <row r="26">
      <c r="A26" s="12" t="n">
        <v>500</v>
      </c>
      <c r="B26" s="12" t="n">
        <v>1000000000000</v>
      </c>
      <c r="C26" s="12" t="n">
        <v>24</v>
      </c>
    </row>
    <row r="28">
      <c r="A28" s="7" t="inlineStr">
        <is>
          <t>Year</t>
        </is>
      </c>
      <c r="B28" s="7" t="inlineStr"/>
      <c r="C28" s="7" t="inlineStr">
        <is>
          <t>1</t>
        </is>
      </c>
      <c r="D28" s="7" t="inlineStr">
        <is>
          <t>2</t>
        </is>
      </c>
      <c r="E28" s="7" t="inlineStr">
        <is>
          <t>3</t>
        </is>
      </c>
      <c r="F28" s="7" t="inlineStr">
        <is>
          <t>4</t>
        </is>
      </c>
      <c r="G28" s="7" t="inlineStr">
        <is>
          <t>5</t>
        </is>
      </c>
      <c r="H28" s="7" t="inlineStr">
        <is>
          <t>6</t>
        </is>
      </c>
      <c r="I28" s="7" t="inlineStr">
        <is>
          <t>7</t>
        </is>
      </c>
    </row>
    <row r="29">
      <c r="A29" s="2" t="inlineStr">
        <is>
          <t>t</t>
        </is>
      </c>
      <c r="C29" s="12" t="n">
        <v>1</v>
      </c>
      <c r="D29" s="12" t="n">
        <v>2</v>
      </c>
      <c r="E29" s="12" t="n">
        <v>3</v>
      </c>
      <c r="F29" s="12" t="n">
        <v>4</v>
      </c>
      <c r="G29" s="12" t="n">
        <v>5</v>
      </c>
      <c r="H29" s="12" t="n">
        <v>6</v>
      </c>
      <c r="I29" s="12" t="n">
        <v>7</v>
      </c>
    </row>
    <row r="30">
      <c r="A30" s="2" t="inlineStr">
        <is>
          <t>End AUM</t>
        </is>
      </c>
      <c r="C30" s="18">
        <f>$B$4*(1+$B$5)^C29</f>
        <v/>
      </c>
      <c r="D30" s="18">
        <f>$B$4*(1+$B$5)^D29</f>
        <v/>
      </c>
      <c r="E30" s="18">
        <f>$B$4*(1+$B$5)^E29</f>
        <v/>
      </c>
      <c r="F30" s="18">
        <f>$B$4*(1+$B$5)^F29</f>
        <v/>
      </c>
      <c r="G30" s="18">
        <f>$B$4*(1+$B$5)^G29</f>
        <v/>
      </c>
      <c r="H30" s="18">
        <f>$B$4*(1+$B$5)^H29</f>
        <v/>
      </c>
      <c r="I30" s="18">
        <f>$B$4*(1+$B$5)^I29</f>
        <v/>
      </c>
    </row>
    <row r="31">
      <c r="A31" s="2" t="inlineStr">
        <is>
          <t>Start AUM</t>
        </is>
      </c>
      <c r="C31" s="18">
        <f>$B$4</f>
        <v/>
      </c>
      <c r="D31" s="18">
        <f>C30</f>
        <v/>
      </c>
      <c r="E31" s="18">
        <f>D30</f>
        <v/>
      </c>
      <c r="F31" s="18">
        <f>E30</f>
        <v/>
      </c>
      <c r="G31" s="18">
        <f>F30</f>
        <v/>
      </c>
      <c r="H31" s="18">
        <f>G30</f>
        <v/>
      </c>
      <c r="I31" s="18">
        <f>H30</f>
        <v/>
      </c>
    </row>
    <row r="32">
      <c r="A32" s="2" t="inlineStr">
        <is>
          <t>Average AUM</t>
        </is>
      </c>
      <c r="C32" s="18">
        <f>(C30+C31)/2</f>
        <v/>
      </c>
      <c r="D32" s="18">
        <f>(D30+D31)/2</f>
        <v/>
      </c>
      <c r="E32" s="18">
        <f>(E30+E31)/2</f>
        <v/>
      </c>
      <c r="F32" s="18">
        <f>(F30+F31)/2</f>
        <v/>
      </c>
      <c r="G32" s="18">
        <f>(G30+G31)/2</f>
        <v/>
      </c>
      <c r="H32" s="18">
        <f>(H30+H31)/2</f>
        <v/>
      </c>
      <c r="I32" s="18">
        <f>(I30+I31)/2</f>
        <v/>
      </c>
    </row>
    <row r="33">
      <c r="A33" s="2" t="inlineStr">
        <is>
          <t>Revenue at lambda=1</t>
        </is>
      </c>
      <c r="C33" s="35">
        <f>SUMPRODUCT((C32&gt;$A$24:$A$26)*((C32&lt;$B$24:$B$26)*C32+(C32&gt;=$B$24:$B$26)*$B$24:$B$26-$A$24:$A$26)*$C$24:$C$26)/10000</f>
        <v/>
      </c>
      <c r="D33" s="35">
        <f>SUMPRODUCT((D32&gt;$A$24:$A$26)*((D32&lt;$B$24:$B$26)*D32+(D32&gt;=$B$24:$B$26)*$B$24:$B$26-$A$24:$A$26)*$C$24:$C$26)/10000</f>
        <v/>
      </c>
      <c r="E33" s="35">
        <f>SUMPRODUCT((E32&gt;$A$24:$A$26)*((E32&lt;$B$24:$B$26)*E32+(E32&gt;=$B$24:$B$26)*$B$24:$B$26-$A$24:$A$26)*$C$24:$C$26)/10000</f>
        <v/>
      </c>
      <c r="F33" s="35">
        <f>SUMPRODUCT((F32&gt;$A$24:$A$26)*((F32&lt;$B$24:$B$26)*F32+(F32&gt;=$B$24:$B$26)*$B$24:$B$26-$A$24:$A$26)*$C$24:$C$26)/10000</f>
        <v/>
      </c>
      <c r="G33" s="35">
        <f>SUMPRODUCT((G32&gt;$A$24:$A$26)*((G32&lt;$B$24:$B$26)*G32+(G32&gt;=$B$24:$B$26)*$B$24:$B$26-$A$24:$A$26)*$C$24:$C$26)/10000</f>
        <v/>
      </c>
      <c r="H33" s="35">
        <f>SUMPRODUCT((H32&gt;$A$24:$A$26)*((H32&lt;$B$24:$B$26)*H32+(H32&gt;=$B$24:$B$26)*$B$24:$B$26-$A$24:$A$26)*$C$24:$C$26)/10000</f>
        <v/>
      </c>
      <c r="I33" s="35">
        <f>SUMPRODUCT((I32&gt;$A$24:$A$26)*((I32&lt;$B$24:$B$26)*I32+(I32&gt;=$B$24:$B$26)*$B$24:$B$26-$A$24:$A$26)*$C$24:$C$26)/10000</f>
        <v/>
      </c>
    </row>
    <row r="34">
      <c r="A34" s="2" t="inlineStr">
        <is>
          <t>Revenue (scaled)</t>
        </is>
      </c>
      <c r="C34" s="35">
        <f>$B$21*C33</f>
        <v/>
      </c>
      <c r="D34" s="35">
        <f>$B$21*D33</f>
        <v/>
      </c>
      <c r="E34" s="35">
        <f>$B$21*E33</f>
        <v/>
      </c>
      <c r="F34" s="35">
        <f>$B$21*F33</f>
        <v/>
      </c>
      <c r="G34" s="35">
        <f>$B$21*G33</f>
        <v/>
      </c>
      <c r="H34" s="35">
        <f>$B$21*H33</f>
        <v/>
      </c>
      <c r="I34" s="35">
        <f>$B$21*I33</f>
        <v/>
      </c>
    </row>
    <row r="35">
      <c r="A35" s="2" t="inlineStr">
        <is>
          <t>People cost</t>
        </is>
      </c>
      <c r="C35" s="35">
        <f>($B$9+$B$10)*$B$11*1.03^(C29-1)</f>
        <v/>
      </c>
      <c r="D35" s="35">
        <f>($B$9+$B$10)*$B$11*1.03^(D29-1)</f>
        <v/>
      </c>
      <c r="E35" s="35">
        <f>($B$9+$B$10)*$B$11*1.03^(E29-1)</f>
        <v/>
      </c>
      <c r="F35" s="35">
        <f>($B$9+$B$10)*$B$11*1.03^(F29-1)</f>
        <v/>
      </c>
      <c r="G35" s="35">
        <f>($B$9+$B$10)*$B$11*1.03^(G29-1)</f>
        <v/>
      </c>
      <c r="H35" s="35">
        <f>($B$9+$B$10)*$B$11*1.03^(H29-1)</f>
        <v/>
      </c>
      <c r="I35" s="35">
        <f>($B$9+$B$10)*$B$11*1.03^(I29-1)</f>
        <v/>
      </c>
    </row>
    <row r="36">
      <c r="A36" s="2" t="inlineStr">
        <is>
          <t>Trading + custody</t>
        </is>
      </c>
      <c r="C36" s="35">
        <f>C32*($B$12+$B$13)/10000</f>
        <v/>
      </c>
      <c r="D36" s="35">
        <f>D32*($B$12+$B$13)/10000</f>
        <v/>
      </c>
      <c r="E36" s="35">
        <f>E32*($B$12+$B$13)/10000</f>
        <v/>
      </c>
      <c r="F36" s="35">
        <f>F32*($B$12+$B$13)/10000</f>
        <v/>
      </c>
      <c r="G36" s="35">
        <f>G32*($B$12+$B$13)/10000</f>
        <v/>
      </c>
      <c r="H36" s="35">
        <f>H32*($B$12+$B$13)/10000</f>
        <v/>
      </c>
      <c r="I36" s="35">
        <f>I32*($B$12+$B$13)/10000</f>
        <v/>
      </c>
    </row>
    <row r="37">
      <c r="A37" s="2" t="inlineStr">
        <is>
          <t>Data licences</t>
        </is>
      </c>
      <c r="C37" s="35">
        <f>$B$14</f>
        <v/>
      </c>
      <c r="D37" s="35">
        <f>$B$14</f>
        <v/>
      </c>
      <c r="E37" s="35">
        <f>$B$14</f>
        <v/>
      </c>
      <c r="F37" s="35">
        <f>$B$14</f>
        <v/>
      </c>
      <c r="G37" s="35">
        <f>$B$14</f>
        <v/>
      </c>
      <c r="H37" s="35">
        <f>$B$14</f>
        <v/>
      </c>
      <c r="I37" s="35">
        <f>$B$14</f>
        <v/>
      </c>
    </row>
    <row r="38">
      <c r="A38" s="2" t="inlineStr">
        <is>
          <t>Sales commission</t>
        </is>
      </c>
      <c r="C38" s="35">
        <f>IF(C29=1,$B$16*C34,0)</f>
        <v/>
      </c>
      <c r="D38" s="35">
        <f>IF(D29=1,$B$16*D34,0)</f>
        <v/>
      </c>
      <c r="E38" s="35">
        <f>IF(E29=1,$B$16*E34,0)</f>
        <v/>
      </c>
      <c r="F38" s="35">
        <f>IF(F29=1,$B$16*F34,0)</f>
        <v/>
      </c>
      <c r="G38" s="35">
        <f>IF(G29=1,$B$16*G34,0)</f>
        <v/>
      </c>
      <c r="H38" s="35">
        <f>IF(H29=1,$B$16*H34,0)</f>
        <v/>
      </c>
      <c r="I38" s="35">
        <f>IF(I29=1,$B$16*I34,0)</f>
        <v/>
      </c>
    </row>
    <row r="39">
      <c r="A39" s="2" t="inlineStr">
        <is>
          <t>Capital charge</t>
        </is>
      </c>
      <c r="C39" s="35">
        <f>$B$17*$B$18</f>
        <v/>
      </c>
      <c r="D39" s="35">
        <f>$B$17*$B$18</f>
        <v/>
      </c>
      <c r="E39" s="35">
        <f>$B$17*$B$18</f>
        <v/>
      </c>
      <c r="F39" s="35">
        <f>$B$17*$B$18</f>
        <v/>
      </c>
      <c r="G39" s="35">
        <f>$B$17*$B$18</f>
        <v/>
      </c>
      <c r="H39" s="35">
        <f>$B$17*$B$18</f>
        <v/>
      </c>
      <c r="I39" s="35">
        <f>$B$17*$B$18</f>
        <v/>
      </c>
    </row>
    <row r="40">
      <c r="A40" s="2" t="inlineStr">
        <is>
          <t>Direct costs</t>
        </is>
      </c>
      <c r="C40" s="35">
        <f>SUM(C35:C39)</f>
        <v/>
      </c>
      <c r="D40" s="35">
        <f>SUM(D35:D39)</f>
        <v/>
      </c>
      <c r="E40" s="35">
        <f>SUM(E35:E39)</f>
        <v/>
      </c>
      <c r="F40" s="35">
        <f>SUM(F35:F39)</f>
        <v/>
      </c>
      <c r="G40" s="35">
        <f>SUM(G35:G39)</f>
        <v/>
      </c>
      <c r="H40" s="35">
        <f>SUM(H35:H39)</f>
        <v/>
      </c>
      <c r="I40" s="35">
        <f>SUM(I35:I39)</f>
        <v/>
      </c>
    </row>
    <row r="41">
      <c r="A41" s="2" t="inlineStr">
        <is>
          <t>Allocated shared costs</t>
        </is>
      </c>
      <c r="C41" s="35">
        <f>C32*$B$19/10000</f>
        <v/>
      </c>
      <c r="D41" s="35">
        <f>D32*$B$19/10000</f>
        <v/>
      </c>
      <c r="E41" s="35">
        <f>E32*$B$19/10000</f>
        <v/>
      </c>
      <c r="F41" s="35">
        <f>F32*$B$19/10000</f>
        <v/>
      </c>
      <c r="G41" s="35">
        <f>G32*$B$19/10000</f>
        <v/>
      </c>
      <c r="H41" s="35">
        <f>H32*$B$19/10000</f>
        <v/>
      </c>
      <c r="I41" s="35">
        <f>I32*$B$19/10000</f>
        <v/>
      </c>
    </row>
    <row r="42">
      <c r="A42" s="6" t="inlineStr">
        <is>
          <t>Marginal (contribution) profit</t>
        </is>
      </c>
      <c r="C42" s="35">
        <f>C34-C40</f>
        <v/>
      </c>
      <c r="D42" s="35">
        <f>D34-D40</f>
        <v/>
      </c>
      <c r="E42" s="35">
        <f>E34-E40</f>
        <v/>
      </c>
      <c r="F42" s="35">
        <f>F34-F40</f>
        <v/>
      </c>
      <c r="G42" s="35">
        <f>G34-G40</f>
        <v/>
      </c>
      <c r="H42" s="35">
        <f>H34-H40</f>
        <v/>
      </c>
      <c r="I42" s="35">
        <f>I34-I40</f>
        <v/>
      </c>
    </row>
    <row r="43">
      <c r="A43" s="6" t="inlineStr">
        <is>
          <t>Fully allocated profit</t>
        </is>
      </c>
      <c r="C43" s="35">
        <f>C42-C41</f>
        <v/>
      </c>
      <c r="D43" s="35">
        <f>D42-D41</f>
        <v/>
      </c>
      <c r="E43" s="35">
        <f>E42-E41</f>
        <v/>
      </c>
      <c r="F43" s="35">
        <f>F42-F41</f>
        <v/>
      </c>
      <c r="G43" s="35">
        <f>G42-G41</f>
        <v/>
      </c>
      <c r="H43" s="35">
        <f>H42-H41</f>
        <v/>
      </c>
      <c r="I43" s="35">
        <f>I42-I41</f>
        <v/>
      </c>
    </row>
    <row r="44">
      <c r="A44" s="2" t="inlineStr">
        <is>
          <t>Survival S(t-0.5)</t>
        </is>
      </c>
      <c r="C44" s="34">
        <f>EXP(-((C29-0.5)/$B$22)^$B$7)</f>
        <v/>
      </c>
      <c r="D44" s="34">
        <f>EXP(-((D29-0.5)/$B$22)^$B$7)</f>
        <v/>
      </c>
      <c r="E44" s="34">
        <f>EXP(-((E29-0.5)/$B$22)^$B$7)</f>
        <v/>
      </c>
      <c r="F44" s="34">
        <f>EXP(-((F29-0.5)/$B$22)^$B$7)</f>
        <v/>
      </c>
      <c r="G44" s="34">
        <f>EXP(-((G29-0.5)/$B$22)^$B$7)</f>
        <v/>
      </c>
      <c r="H44" s="34">
        <f>EXP(-((H29-0.5)/$B$22)^$B$7)</f>
        <v/>
      </c>
      <c r="I44" s="34">
        <f>EXP(-((I29-0.5)/$B$22)^$B$7)</f>
        <v/>
      </c>
    </row>
    <row r="45">
      <c r="A45" s="2" t="inlineStr">
        <is>
          <t>Discount factor</t>
        </is>
      </c>
      <c r="C45" s="34">
        <f>(1+$B$20)^-(C29-0.5)</f>
        <v/>
      </c>
      <c r="D45" s="34">
        <f>(1+$B$20)^-(D29-0.5)</f>
        <v/>
      </c>
      <c r="E45" s="34">
        <f>(1+$B$20)^-(E29-0.5)</f>
        <v/>
      </c>
      <c r="F45" s="34">
        <f>(1+$B$20)^-(F29-0.5)</f>
        <v/>
      </c>
      <c r="G45" s="34">
        <f>(1+$B$20)^-(G29-0.5)</f>
        <v/>
      </c>
      <c r="H45" s="34">
        <f>(1+$B$20)^-(H29-0.5)</f>
        <v/>
      </c>
      <c r="I45" s="34">
        <f>(1+$B$20)^-(I29-0.5)</f>
        <v/>
      </c>
    </row>
    <row r="46">
      <c r="A46" s="2" t="inlineStr">
        <is>
          <t>PV marginal</t>
        </is>
      </c>
      <c r="C46" s="35">
        <f>C44*C45*C42</f>
        <v/>
      </c>
      <c r="D46" s="35">
        <f>D44*D45*D42</f>
        <v/>
      </c>
      <c r="E46" s="35">
        <f>E44*E45*E42</f>
        <v/>
      </c>
      <c r="F46" s="35">
        <f>F44*F45*F42</f>
        <v/>
      </c>
      <c r="G46" s="35">
        <f>G44*G45*G42</f>
        <v/>
      </c>
      <c r="H46" s="35">
        <f>H44*H45*H42</f>
        <v/>
      </c>
      <c r="I46" s="35">
        <f>I44*I45*I42</f>
        <v/>
      </c>
    </row>
    <row r="47">
      <c r="A47" s="2" t="inlineStr">
        <is>
          <t>PV fully allocated</t>
        </is>
      </c>
      <c r="C47" s="35">
        <f>C44*C45*C43</f>
        <v/>
      </c>
      <c r="D47" s="35">
        <f>D44*D45*D43</f>
        <v/>
      </c>
      <c r="E47" s="35">
        <f>E44*E45*E43</f>
        <v/>
      </c>
      <c r="F47" s="35">
        <f>F44*F45*F43</f>
        <v/>
      </c>
      <c r="G47" s="35">
        <f>G44*G45*G43</f>
        <v/>
      </c>
      <c r="H47" s="35">
        <f>H44*H45*H43</f>
        <v/>
      </c>
      <c r="I47" s="35">
        <f>I44*I45*I43</f>
        <v/>
      </c>
    </row>
    <row r="48">
      <c r="A48" s="2" t="inlineStr">
        <is>
          <t>Direct costs excl. commission</t>
        </is>
      </c>
      <c r="C48" s="35">
        <f>C35+C36+C37+C39</f>
        <v/>
      </c>
      <c r="D48" s="35">
        <f>D35+D36+D37+D39</f>
        <v/>
      </c>
      <c r="E48" s="35">
        <f>E35+E36+E37+E39</f>
        <v/>
      </c>
      <c r="F48" s="35">
        <f>F35+F36+F37+F39</f>
        <v/>
      </c>
      <c r="G48" s="35">
        <f>G35+G36+G37+G39</f>
        <v/>
      </c>
      <c r="H48" s="35">
        <f>H35+H36+H37+H39</f>
        <v/>
      </c>
      <c r="I48" s="35">
        <f>I35+I36+I37+I39</f>
        <v/>
      </c>
    </row>
    <row r="50">
      <c r="A50" s="24" t="inlineStr">
        <is>
          <t>Outputs</t>
        </is>
      </c>
      <c r="B50" s="25" t="n"/>
      <c r="C50" s="25" t="n"/>
      <c r="D50" s="25" t="n"/>
      <c r="E50" s="25" t="n"/>
      <c r="F50" s="25" t="n"/>
      <c r="G50" s="25" t="n"/>
      <c r="H50" s="25" t="n"/>
      <c r="I50" s="25" t="n"/>
    </row>
    <row r="51">
      <c r="A51" s="2" t="inlineStr">
        <is>
          <t>Lifetime value - marginal ($m)</t>
        </is>
      </c>
      <c r="B51" s="35">
        <f>SUM(C46:I46)-B15</f>
        <v/>
      </c>
    </row>
    <row r="52">
      <c r="A52" s="2" t="inlineStr">
        <is>
          <t>Lifetime value - fully allocated ($m)</t>
        </is>
      </c>
      <c r="B52" s="35">
        <f>SUM(C47:I47)-B15</f>
        <v/>
      </c>
    </row>
    <row r="53">
      <c r="A53" s="2" t="inlineStr">
        <is>
          <t>Proposed effective fee, year 1 (bps)</t>
        </is>
      </c>
      <c r="B53" s="22">
        <f>C34/C32*10000</f>
        <v/>
      </c>
    </row>
    <row r="54">
      <c r="A54" s="2" t="inlineStr">
        <is>
          <t>Break-even lambda, marginal (year 1)</t>
        </is>
      </c>
      <c r="B54" s="34">
        <f>C48/(C33*(1-B16))</f>
        <v/>
      </c>
    </row>
    <row r="55">
      <c r="A55" s="2" t="inlineStr">
        <is>
          <t>Break-even lambda, fully allocated (year 1)</t>
        </is>
      </c>
      <c r="B55" s="34">
        <f>(C48+C41)/(C33*(1-B16))</f>
        <v/>
      </c>
    </row>
    <row r="56">
      <c r="A56" s="2" t="inlineStr">
        <is>
          <t>Break-even fee, marginal (bps, year 1)</t>
        </is>
      </c>
      <c r="B56" s="22">
        <f>B54*C33/C32*10000</f>
        <v/>
      </c>
    </row>
    <row r="57">
      <c r="A57" s="2" t="inlineStr">
        <is>
          <t>Break-even fee, fully allocated (bps, year 1)</t>
        </is>
      </c>
      <c r="B57" s="22">
        <f>B55*C33/C32*10000</f>
        <v/>
      </c>
    </row>
    <row r="58">
      <c r="A58" s="2" t="inlineStr">
        <is>
          <t>Hurdle margin over fully allocated break-even</t>
        </is>
      </c>
      <c r="B58" s="16" t="n">
        <v>0.15</v>
      </c>
    </row>
    <row r="59">
      <c r="A59" s="2" t="inlineStr">
        <is>
          <t>Target fee (bps)</t>
        </is>
      </c>
      <c r="B59" s="22">
        <f>B57*(1+B58)</f>
        <v/>
      </c>
    </row>
    <row r="60">
      <c r="A60" s="2" t="inlineStr">
        <is>
          <t>Lifetime break-even lambda, marginal</t>
        </is>
      </c>
      <c r="B60" s="34">
        <f>(B15+SUMPRODUCT(C44:I44,C45:I45,C48:I48))/(SUMPRODUCT(C44:I44,C45:I45,C33:I33)-C44*C45*B16*C33)</f>
        <v/>
      </c>
    </row>
    <row r="61">
      <c r="A61" s="2" t="inlineStr">
        <is>
          <t>Lifetime break-even lambda, fully allocated</t>
        </is>
      </c>
      <c r="B61" s="34">
        <f>(B15+SUMPRODUCT(C44:I44,C45:I45,C48:I48+C41:I41))/(SUMPRODUCT(C44:I44,C45:I45,C33:I33)-C44*C45*B16*C33)</f>
        <v/>
      </c>
    </row>
    <row r="62">
      <c r="A62" s="2" t="inlineStr">
        <is>
          <t>Lifetime break-even fee, marginal (bps)</t>
        </is>
      </c>
      <c r="B62" s="22">
        <f>B60*C33/C32*10000</f>
        <v/>
      </c>
    </row>
    <row r="63">
      <c r="A63" s="2" t="inlineStr">
        <is>
          <t>Lifetime break-even fee, fully allocated (bps)</t>
        </is>
      </c>
      <c r="B63" s="22">
        <f>B61*C33/C32*10000</f>
        <v/>
      </c>
    </row>
    <row r="64">
      <c r="A64" s="6" t="inlineStr">
        <is>
          <t>Recommendation</t>
        </is>
      </c>
      <c r="B64" s="2">
        <f>IF(B53&lt;B56,"REJECT - below marginal break-even",IF(B53&lt;B57,"EXCEPTION ONLY - covers marginal not fully allocated",IF(B53&lt;B59,"APPROVE WITH CAUTION","APPROVE - meets hurdle")))</f>
        <v/>
      </c>
    </row>
    <row r="66">
      <c r="A66" s="2" t="inlineStr">
        <is>
          <t>Competitor fee-yield band (bps, T4Q peers, company level - context only)</t>
        </is>
      </c>
      <c r="B66" s="36" t="n">
        <v>15.6</v>
      </c>
      <c r="C66" s="36" t="n">
        <v>34.8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6" t="inlineStr">
        <is>
          <t>Growth Markets: GCC private wealth office - 7-year business case ($m). ILLUSTRATIVE assumptions.</t>
        </is>
      </c>
    </row>
    <row r="2">
      <c r="A2" s="2" t="inlineStr">
        <is>
          <t>Location</t>
        </is>
      </c>
      <c r="B2" s="20" t="inlineStr">
        <is>
          <t>DIFC</t>
        </is>
      </c>
    </row>
    <row r="4">
      <c r="A4" s="7" t="inlineStr">
        <is>
          <t>Location</t>
        </is>
      </c>
      <c r="B4" s="7" t="inlineStr">
        <is>
          <t>Cost index</t>
        </is>
      </c>
      <c r="C4" s="7" t="inlineStr">
        <is>
          <t>Set-up capex</t>
        </is>
      </c>
      <c r="D4" s="7" t="inlineStr">
        <is>
          <t>Licence $m/yr</t>
        </is>
      </c>
      <c r="E4" s="7" t="inlineStr">
        <is>
          <t>Tax rate</t>
        </is>
      </c>
      <c r="F4" s="7" t="inlineStr">
        <is>
          <t>Note (VERIFY tax)</t>
        </is>
      </c>
    </row>
    <row r="5">
      <c r="A5" s="2" t="inlineStr">
        <is>
          <t>DIFC</t>
        </is>
      </c>
      <c r="B5" s="12" t="n">
        <v>1</v>
      </c>
      <c r="C5" s="12" t="n">
        <v>4</v>
      </c>
      <c r="D5" s="12" t="n">
        <v>0.6</v>
      </c>
      <c r="E5" s="16" t="n">
        <v>0.09</v>
      </c>
      <c r="F5" s="2" t="inlineStr">
        <is>
          <t>Dubai; UAE CT 9%, qualifying free-zone income may be 0% - VERIFY</t>
        </is>
      </c>
    </row>
    <row r="6">
      <c r="A6" s="2" t="inlineStr">
        <is>
          <t>KAFD</t>
        </is>
      </c>
      <c r="B6" s="12" t="n">
        <v>0.92</v>
      </c>
      <c r="C6" s="12" t="n">
        <v>4.5</v>
      </c>
      <c r="D6" s="12" t="n">
        <v>0.5</v>
      </c>
      <c r="E6" s="16" t="n">
        <v>0.2</v>
      </c>
      <c r="F6" s="2" t="inlineStr">
        <is>
          <t>Riyadh; KSA CIT 20% on foreign share - VERIFY</t>
        </is>
      </c>
    </row>
    <row r="7">
      <c r="A7" s="2" t="inlineStr">
        <is>
          <t>ADGM</t>
        </is>
      </c>
      <c r="B7" s="12" t="n">
        <v>0.98</v>
      </c>
      <c r="C7" s="12" t="n">
        <v>3.8</v>
      </c>
      <c r="D7" s="12" t="n">
        <v>0.5</v>
      </c>
      <c r="E7" s="16" t="n">
        <v>0.09</v>
      </c>
      <c r="F7" s="2" t="inlineStr">
        <is>
          <t>Abu Dhabi; UAE CT 9% - VERIFY</t>
        </is>
      </c>
    </row>
    <row r="9">
      <c r="A9" s="2" t="inlineStr">
        <is>
          <t>Selected cost index</t>
        </is>
      </c>
      <c r="B9" s="2">
        <f>INDEX(B5:B7,MATCH(B2,A5:A7,0))</f>
        <v/>
      </c>
    </row>
    <row r="10">
      <c r="A10" s="2" t="inlineStr">
        <is>
          <t>Selected set-up capex</t>
        </is>
      </c>
      <c r="B10" s="2">
        <f>INDEX(C5:C7,MATCH(B2,A5:A7,0))</f>
        <v/>
      </c>
    </row>
    <row r="11">
      <c r="A11" s="2" t="inlineStr">
        <is>
          <t>Selected licence $m/yr</t>
        </is>
      </c>
      <c r="B11" s="2">
        <f>INDEX(D5:D7,MATCH(B2,A5:A7,0))</f>
        <v/>
      </c>
    </row>
    <row r="12">
      <c r="A12" s="2" t="inlineStr">
        <is>
          <t>Selected tax rate</t>
        </is>
      </c>
      <c r="B12" s="2">
        <f>INDEX(E5:E7,MATCH(B2,A5:A7,0))</f>
        <v/>
      </c>
    </row>
    <row r="14">
      <c r="A14" s="2" t="inlineStr">
        <is>
          <t>Advisor attrition p.a.</t>
        </is>
      </c>
      <c r="B14" s="12" t="n">
        <v>0.08</v>
      </c>
    </row>
    <row r="15">
      <c r="A15" s="2" t="inlineStr">
        <is>
          <t>Support staff per advisor</t>
        </is>
      </c>
      <c r="B15" s="12" t="n">
        <v>0.4</v>
      </c>
    </row>
    <row r="16">
      <c r="A16" s="2" t="inlineStr">
        <is>
          <t>Core staff (fixed)</t>
        </is>
      </c>
      <c r="B16" s="12" t="n">
        <v>8</v>
      </c>
    </row>
    <row r="17">
      <c r="A17" s="2" t="inlineStr">
        <is>
          <t>Mature AUM per advisor ($m)</t>
        </is>
      </c>
      <c r="B17" s="12" t="n">
        <v>400</v>
      </c>
    </row>
    <row r="18">
      <c r="A18" s="2" t="inlineStr">
        <is>
          <t>Ramp midpoint (years)</t>
        </is>
      </c>
      <c r="B18" s="12" t="n">
        <v>1.5</v>
      </c>
    </row>
    <row r="19">
      <c r="A19" s="2" t="inlineStr">
        <is>
          <t>Ramp steepness</t>
        </is>
      </c>
      <c r="B19" s="12" t="n">
        <v>1.6</v>
      </c>
    </row>
    <row r="20">
      <c r="A20" s="2" t="inlineStr">
        <is>
          <t>Client attrition p.a.</t>
        </is>
      </c>
      <c r="B20" s="12" t="n">
        <v>0.05</v>
      </c>
    </row>
    <row r="21">
      <c r="A21" s="2" t="inlineStr">
        <is>
          <t>Net revenue (bps of AUM)</t>
        </is>
      </c>
      <c r="B21" s="12" t="n">
        <v>85</v>
      </c>
    </row>
    <row r="22">
      <c r="A22" s="2" t="inlineStr">
        <is>
          <t>Advisor cost ($m)</t>
        </is>
      </c>
      <c r="B22" s="12" t="n">
        <v>0.65</v>
      </c>
    </row>
    <row r="23">
      <c r="A23" s="2" t="inlineStr">
        <is>
          <t>Support cost ($m)</t>
        </is>
      </c>
      <c r="B23" s="12" t="n">
        <v>0.25</v>
      </c>
    </row>
    <row r="24">
      <c r="A24" s="2" t="inlineStr">
        <is>
          <t>Premises &amp; tech per head ($m)</t>
        </is>
      </c>
      <c r="B24" s="12" t="n">
        <v>0.06</v>
      </c>
    </row>
    <row r="25">
      <c r="A25" s="2" t="inlineStr">
        <is>
          <t>Cost inflation</t>
        </is>
      </c>
      <c r="B25" s="12" t="n">
        <v>0.03</v>
      </c>
    </row>
    <row r="26">
      <c r="A26" s="2" t="inlineStr">
        <is>
          <t>Regulatory capital ($m)</t>
        </is>
      </c>
      <c r="B26" s="12" t="n">
        <v>15</v>
      </c>
    </row>
    <row r="27">
      <c r="A27" s="2" t="inlineStr">
        <is>
          <t>Discount rate</t>
        </is>
      </c>
      <c r="B27" s="12" t="n">
        <v>0.11</v>
      </c>
    </row>
    <row r="28">
      <c r="A28" s="2" t="inlineStr">
        <is>
          <t>Terminal growth</t>
        </is>
      </c>
      <c r="B28" s="12" t="n">
        <v>0.03</v>
      </c>
    </row>
    <row r="29">
      <c r="A29" s="2" t="inlineStr">
        <is>
          <t>Variable comp (% of revenue)</t>
        </is>
      </c>
      <c r="B29" s="12" t="n">
        <v>0.1</v>
      </c>
    </row>
    <row r="31">
      <c r="A31" s="7" t="inlineStr">
        <is>
          <t>Year</t>
        </is>
      </c>
      <c r="B31" s="7" t="inlineStr">
        <is>
          <t>0</t>
        </is>
      </c>
      <c r="C31" s="7" t="inlineStr">
        <is>
          <t>1</t>
        </is>
      </c>
      <c r="D31" s="7" t="inlineStr">
        <is>
          <t>2</t>
        </is>
      </c>
      <c r="E31" s="7" t="inlineStr">
        <is>
          <t>3</t>
        </is>
      </c>
      <c r="F31" s="7" t="inlineStr">
        <is>
          <t>4</t>
        </is>
      </c>
      <c r="G31" s="7" t="inlineStr">
        <is>
          <t>5</t>
        </is>
      </c>
      <c r="H31" s="7" t="inlineStr">
        <is>
          <t>6</t>
        </is>
      </c>
      <c r="I31" s="7" t="inlineStr">
        <is>
          <t>7</t>
        </is>
      </c>
    </row>
    <row r="32">
      <c r="A32" s="2" t="inlineStr">
        <is>
          <t>Gross advisor hires</t>
        </is>
      </c>
      <c r="C32" s="12" t="n">
        <v>6</v>
      </c>
      <c r="D32" s="12" t="n">
        <v>8</v>
      </c>
      <c r="E32" s="12" t="n">
        <v>8</v>
      </c>
      <c r="F32" s="12" t="n">
        <v>8</v>
      </c>
      <c r="G32" s="12" t="n">
        <v>6</v>
      </c>
      <c r="H32" s="12" t="n">
        <v>4</v>
      </c>
      <c r="I32" s="12" t="n">
        <v>4</v>
      </c>
    </row>
    <row r="33">
      <c r="A33" s="2" t="inlineStr">
        <is>
          <t>Year index</t>
        </is>
      </c>
      <c r="C33" s="12" t="n">
        <v>1</v>
      </c>
      <c r="D33" s="12" t="n">
        <v>2</v>
      </c>
      <c r="E33" s="12" t="n">
        <v>3</v>
      </c>
      <c r="F33" s="12" t="n">
        <v>4</v>
      </c>
      <c r="G33" s="12" t="n">
        <v>5</v>
      </c>
      <c r="H33" s="12" t="n">
        <v>6</v>
      </c>
      <c r="I33" s="12" t="n">
        <v>7</v>
      </c>
    </row>
    <row r="35">
      <c r="A35" s="24" t="inlineStr">
        <is>
          <t>Advisors alive by hire cohort (rows) and year (columns)</t>
        </is>
      </c>
      <c r="B35" s="25" t="n"/>
      <c r="C35" s="25" t="n"/>
      <c r="D35" s="25" t="n"/>
      <c r="E35" s="25" t="n"/>
      <c r="F35" s="25" t="n"/>
      <c r="G35" s="25" t="n"/>
      <c r="H35" s="25" t="n"/>
      <c r="I35" s="25" t="n"/>
    </row>
    <row r="36">
      <c r="A36" s="2" t="inlineStr">
        <is>
          <t>Cohort hired Y1</t>
        </is>
      </c>
      <c r="C36" s="22">
        <f>C$32*(1-$B$14)^(C$33-C$33)</f>
        <v/>
      </c>
      <c r="D36" s="22">
        <f>C$32*(1-$B$14)^(D$33-C$33)</f>
        <v/>
      </c>
      <c r="E36" s="22">
        <f>C$32*(1-$B$14)^(E$33-C$33)</f>
        <v/>
      </c>
      <c r="F36" s="22">
        <f>C$32*(1-$B$14)^(F$33-C$33)</f>
        <v/>
      </c>
      <c r="G36" s="22">
        <f>C$32*(1-$B$14)^(G$33-C$33)</f>
        <v/>
      </c>
      <c r="H36" s="22">
        <f>C$32*(1-$B$14)^(H$33-C$33)</f>
        <v/>
      </c>
      <c r="I36" s="22">
        <f>C$32*(1-$B$14)^(I$33-C$33)</f>
        <v/>
      </c>
    </row>
    <row r="37">
      <c r="A37" s="2" t="inlineStr">
        <is>
          <t>Cohort hired Y2</t>
        </is>
      </c>
      <c r="C37" s="12" t="n">
        <v>0</v>
      </c>
      <c r="D37" s="22">
        <f>D$32*(1-$B$14)^(D$33-D$33)</f>
        <v/>
      </c>
      <c r="E37" s="22">
        <f>D$32*(1-$B$14)^(E$33-D$33)</f>
        <v/>
      </c>
      <c r="F37" s="22">
        <f>D$32*(1-$B$14)^(F$33-D$33)</f>
        <v/>
      </c>
      <c r="G37" s="22">
        <f>D$32*(1-$B$14)^(G$33-D$33)</f>
        <v/>
      </c>
      <c r="H37" s="22">
        <f>D$32*(1-$B$14)^(H$33-D$33)</f>
        <v/>
      </c>
      <c r="I37" s="22">
        <f>D$32*(1-$B$14)^(I$33-D$33)</f>
        <v/>
      </c>
    </row>
    <row r="38">
      <c r="A38" s="2" t="inlineStr">
        <is>
          <t>Cohort hired Y3</t>
        </is>
      </c>
      <c r="C38" s="12" t="n">
        <v>0</v>
      </c>
      <c r="D38" s="12" t="n">
        <v>0</v>
      </c>
      <c r="E38" s="22">
        <f>E$32*(1-$B$14)^(E$33-E$33)</f>
        <v/>
      </c>
      <c r="F38" s="22">
        <f>E$32*(1-$B$14)^(F$33-E$33)</f>
        <v/>
      </c>
      <c r="G38" s="22">
        <f>E$32*(1-$B$14)^(G$33-E$33)</f>
        <v/>
      </c>
      <c r="H38" s="22">
        <f>E$32*(1-$B$14)^(H$33-E$33)</f>
        <v/>
      </c>
      <c r="I38" s="22">
        <f>E$32*(1-$B$14)^(I$33-E$33)</f>
        <v/>
      </c>
    </row>
    <row r="39">
      <c r="A39" s="2" t="inlineStr">
        <is>
          <t>Cohort hired Y4</t>
        </is>
      </c>
      <c r="C39" s="12" t="n">
        <v>0</v>
      </c>
      <c r="D39" s="12" t="n">
        <v>0</v>
      </c>
      <c r="E39" s="12" t="n">
        <v>0</v>
      </c>
      <c r="F39" s="22">
        <f>F$32*(1-$B$14)^(F$33-F$33)</f>
        <v/>
      </c>
      <c r="G39" s="22">
        <f>F$32*(1-$B$14)^(G$33-F$33)</f>
        <v/>
      </c>
      <c r="H39" s="22">
        <f>F$32*(1-$B$14)^(H$33-F$33)</f>
        <v/>
      </c>
      <c r="I39" s="22">
        <f>F$32*(1-$B$14)^(I$33-F$33)</f>
        <v/>
      </c>
    </row>
    <row r="40">
      <c r="A40" s="2" t="inlineStr">
        <is>
          <t>Cohort hired Y5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22">
        <f>G$32*(1-$B$14)^(G$33-G$33)</f>
        <v/>
      </c>
      <c r="H40" s="22">
        <f>G$32*(1-$B$14)^(H$33-G$33)</f>
        <v/>
      </c>
      <c r="I40" s="22">
        <f>G$32*(1-$B$14)^(I$33-G$33)</f>
        <v/>
      </c>
    </row>
    <row r="41">
      <c r="A41" s="2" t="inlineStr">
        <is>
          <t>Cohort hired Y6</t>
        </is>
      </c>
      <c r="C41" s="12" t="n">
        <v>0</v>
      </c>
      <c r="D41" s="12" t="n">
        <v>0</v>
      </c>
      <c r="E41" s="12" t="n">
        <v>0</v>
      </c>
      <c r="F41" s="12" t="n">
        <v>0</v>
      </c>
      <c r="G41" s="12" t="n">
        <v>0</v>
      </c>
      <c r="H41" s="22">
        <f>H$32*(1-$B$14)^(H$33-H$33)</f>
        <v/>
      </c>
      <c r="I41" s="22">
        <f>H$32*(1-$B$14)^(I$33-H$33)</f>
        <v/>
      </c>
    </row>
    <row r="42">
      <c r="A42" s="2" t="inlineStr">
        <is>
          <t>Cohort hired Y7</t>
        </is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22">
        <f>I$32*(1-$B$14)^(I$33-I$33)</f>
        <v/>
      </c>
    </row>
    <row r="44">
      <c r="A44" s="24" t="inlineStr">
        <is>
          <t>Client AUM at year end by cohort ($m)</t>
        </is>
      </c>
      <c r="B44" s="25" t="n"/>
      <c r="C44" s="25" t="n"/>
      <c r="D44" s="25" t="n"/>
      <c r="E44" s="25" t="n"/>
      <c r="F44" s="25" t="n"/>
      <c r="G44" s="25" t="n"/>
      <c r="H44" s="25" t="n"/>
      <c r="I44" s="25" t="n"/>
    </row>
    <row r="45">
      <c r="A45" s="2" t="inlineStr">
        <is>
          <t>Cohort hired Y1</t>
        </is>
      </c>
      <c r="C45" s="18">
        <f>C36*$B$17/(1+EXP(-$B$19*((C$33-C$33+0.5)-$B$18)))*(1-$B$20)^(C$33-C$33)</f>
        <v/>
      </c>
      <c r="D45" s="18">
        <f>D36*$B$17/(1+EXP(-$B$19*((D$33-C$33+0.5)-$B$18)))*(1-$B$20)^(D$33-C$33)</f>
        <v/>
      </c>
      <c r="E45" s="18">
        <f>E36*$B$17/(1+EXP(-$B$19*((E$33-C$33+0.5)-$B$18)))*(1-$B$20)^(E$33-C$33)</f>
        <v/>
      </c>
      <c r="F45" s="18">
        <f>F36*$B$17/(1+EXP(-$B$19*((F$33-C$33+0.5)-$B$18)))*(1-$B$20)^(F$33-C$33)</f>
        <v/>
      </c>
      <c r="G45" s="18">
        <f>G36*$B$17/(1+EXP(-$B$19*((G$33-C$33+0.5)-$B$18)))*(1-$B$20)^(G$33-C$33)</f>
        <v/>
      </c>
      <c r="H45" s="18">
        <f>H36*$B$17/(1+EXP(-$B$19*((H$33-C$33+0.5)-$B$18)))*(1-$B$20)^(H$33-C$33)</f>
        <v/>
      </c>
      <c r="I45" s="18">
        <f>I36*$B$17/(1+EXP(-$B$19*((I$33-C$33+0.5)-$B$18)))*(1-$B$20)^(I$33-C$33)</f>
        <v/>
      </c>
    </row>
    <row r="46">
      <c r="A46" s="2" t="inlineStr">
        <is>
          <t>Cohort hired Y2</t>
        </is>
      </c>
      <c r="C46" s="12" t="n">
        <v>0</v>
      </c>
      <c r="D46" s="18">
        <f>D37*$B$17/(1+EXP(-$B$19*((D$33-D$33+0.5)-$B$18)))*(1-$B$20)^(D$33-D$33)</f>
        <v/>
      </c>
      <c r="E46" s="18">
        <f>E37*$B$17/(1+EXP(-$B$19*((E$33-D$33+0.5)-$B$18)))*(1-$B$20)^(E$33-D$33)</f>
        <v/>
      </c>
      <c r="F46" s="18">
        <f>F37*$B$17/(1+EXP(-$B$19*((F$33-D$33+0.5)-$B$18)))*(1-$B$20)^(F$33-D$33)</f>
        <v/>
      </c>
      <c r="G46" s="18">
        <f>G37*$B$17/(1+EXP(-$B$19*((G$33-D$33+0.5)-$B$18)))*(1-$B$20)^(G$33-D$33)</f>
        <v/>
      </c>
      <c r="H46" s="18">
        <f>H37*$B$17/(1+EXP(-$B$19*((H$33-D$33+0.5)-$B$18)))*(1-$B$20)^(H$33-D$33)</f>
        <v/>
      </c>
      <c r="I46" s="18">
        <f>I37*$B$17/(1+EXP(-$B$19*((I$33-D$33+0.5)-$B$18)))*(1-$B$20)^(I$33-D$33)</f>
        <v/>
      </c>
    </row>
    <row r="47">
      <c r="A47" s="2" t="inlineStr">
        <is>
          <t>Cohort hired Y3</t>
        </is>
      </c>
      <c r="C47" s="12" t="n">
        <v>0</v>
      </c>
      <c r="D47" s="12" t="n">
        <v>0</v>
      </c>
      <c r="E47" s="18">
        <f>E38*$B$17/(1+EXP(-$B$19*((E$33-E$33+0.5)-$B$18)))*(1-$B$20)^(E$33-E$33)</f>
        <v/>
      </c>
      <c r="F47" s="18">
        <f>F38*$B$17/(1+EXP(-$B$19*((F$33-E$33+0.5)-$B$18)))*(1-$B$20)^(F$33-E$33)</f>
        <v/>
      </c>
      <c r="G47" s="18">
        <f>G38*$B$17/(1+EXP(-$B$19*((G$33-E$33+0.5)-$B$18)))*(1-$B$20)^(G$33-E$33)</f>
        <v/>
      </c>
      <c r="H47" s="18">
        <f>H38*$B$17/(1+EXP(-$B$19*((H$33-E$33+0.5)-$B$18)))*(1-$B$20)^(H$33-E$33)</f>
        <v/>
      </c>
      <c r="I47" s="18">
        <f>I38*$B$17/(1+EXP(-$B$19*((I$33-E$33+0.5)-$B$18)))*(1-$B$20)^(I$33-E$33)</f>
        <v/>
      </c>
    </row>
    <row r="48">
      <c r="A48" s="2" t="inlineStr">
        <is>
          <t>Cohort hired Y4</t>
        </is>
      </c>
      <c r="C48" s="12" t="n">
        <v>0</v>
      </c>
      <c r="D48" s="12" t="n">
        <v>0</v>
      </c>
      <c r="E48" s="12" t="n">
        <v>0</v>
      </c>
      <c r="F48" s="18">
        <f>F39*$B$17/(1+EXP(-$B$19*((F$33-F$33+0.5)-$B$18)))*(1-$B$20)^(F$33-F$33)</f>
        <v/>
      </c>
      <c r="G48" s="18">
        <f>G39*$B$17/(1+EXP(-$B$19*((G$33-F$33+0.5)-$B$18)))*(1-$B$20)^(G$33-F$33)</f>
        <v/>
      </c>
      <c r="H48" s="18">
        <f>H39*$B$17/(1+EXP(-$B$19*((H$33-F$33+0.5)-$B$18)))*(1-$B$20)^(H$33-F$33)</f>
        <v/>
      </c>
      <c r="I48" s="18">
        <f>I39*$B$17/(1+EXP(-$B$19*((I$33-F$33+0.5)-$B$18)))*(1-$B$20)^(I$33-F$33)</f>
        <v/>
      </c>
    </row>
    <row r="49">
      <c r="A49" s="2" t="inlineStr">
        <is>
          <t>Cohort hired Y5</t>
        </is>
      </c>
      <c r="C49" s="12" t="n">
        <v>0</v>
      </c>
      <c r="D49" s="12" t="n">
        <v>0</v>
      </c>
      <c r="E49" s="12" t="n">
        <v>0</v>
      </c>
      <c r="F49" s="12" t="n">
        <v>0</v>
      </c>
      <c r="G49" s="18">
        <f>G40*$B$17/(1+EXP(-$B$19*((G$33-G$33+0.5)-$B$18)))*(1-$B$20)^(G$33-G$33)</f>
        <v/>
      </c>
      <c r="H49" s="18">
        <f>H40*$B$17/(1+EXP(-$B$19*((H$33-G$33+0.5)-$B$18)))*(1-$B$20)^(H$33-G$33)</f>
        <v/>
      </c>
      <c r="I49" s="18">
        <f>I40*$B$17/(1+EXP(-$B$19*((I$33-G$33+0.5)-$B$18)))*(1-$B$20)^(I$33-G$33)</f>
        <v/>
      </c>
    </row>
    <row r="50">
      <c r="A50" s="2" t="inlineStr">
        <is>
          <t>Cohort hired Y6</t>
        </is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8">
        <f>H41*$B$17/(1+EXP(-$B$19*((H$33-H$33+0.5)-$B$18)))*(1-$B$20)^(H$33-H$33)</f>
        <v/>
      </c>
      <c r="I50" s="18">
        <f>I41*$B$17/(1+EXP(-$B$19*((I$33-H$33+0.5)-$B$18)))*(1-$B$20)^(I$33-H$33)</f>
        <v/>
      </c>
    </row>
    <row r="51">
      <c r="A51" s="2" t="inlineStr">
        <is>
          <t>Cohort hired Y7</t>
        </is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8">
        <f>I42*$B$17/(1+EXP(-$B$19*((I$33-I$33+0.5)-$B$18)))*(1-$B$20)^(I$33-I$33)</f>
        <v/>
      </c>
    </row>
    <row r="54">
      <c r="A54" s="2" t="inlineStr">
        <is>
          <t>Advisors</t>
        </is>
      </c>
      <c r="C54" s="37">
        <f>SUM(C36:C42)</f>
        <v/>
      </c>
      <c r="D54" s="37">
        <f>SUM(D36:D42)</f>
        <v/>
      </c>
      <c r="E54" s="37">
        <f>SUM(E36:E42)</f>
        <v/>
      </c>
      <c r="F54" s="37">
        <f>SUM(F36:F42)</f>
        <v/>
      </c>
      <c r="G54" s="37">
        <f>SUM(G36:G42)</f>
        <v/>
      </c>
      <c r="H54" s="37">
        <f>SUM(H36:H42)</f>
        <v/>
      </c>
      <c r="I54" s="37">
        <f>SUM(I36:I42)</f>
        <v/>
      </c>
    </row>
    <row r="55">
      <c r="A55" s="2" t="inlineStr">
        <is>
          <t>Support headcount</t>
        </is>
      </c>
      <c r="C55" s="37">
        <f>C54*$B$15+$B$16</f>
        <v/>
      </c>
      <c r="D55" s="37">
        <f>D54*$B$15+$B$16</f>
        <v/>
      </c>
      <c r="E55" s="37">
        <f>E54*$B$15+$B$16</f>
        <v/>
      </c>
      <c r="F55" s="37">
        <f>F54*$B$15+$B$16</f>
        <v/>
      </c>
      <c r="G55" s="37">
        <f>G54*$B$15+$B$16</f>
        <v/>
      </c>
      <c r="H55" s="37">
        <f>H54*$B$15+$B$16</f>
        <v/>
      </c>
      <c r="I55" s="37">
        <f>I54*$B$15+$B$16</f>
        <v/>
      </c>
    </row>
    <row r="56">
      <c r="A56" s="2" t="inlineStr">
        <is>
          <t>AUM start</t>
        </is>
      </c>
      <c r="C56" s="18">
        <f>B57</f>
        <v/>
      </c>
      <c r="D56" s="18">
        <f>C57</f>
        <v/>
      </c>
      <c r="E56" s="18">
        <f>D57</f>
        <v/>
      </c>
      <c r="F56" s="18">
        <f>E57</f>
        <v/>
      </c>
      <c r="G56" s="18">
        <f>F57</f>
        <v/>
      </c>
      <c r="H56" s="18">
        <f>G57</f>
        <v/>
      </c>
      <c r="I56" s="18">
        <f>H57</f>
        <v/>
      </c>
    </row>
    <row r="57">
      <c r="A57" s="2" t="inlineStr">
        <is>
          <t>AUM end</t>
        </is>
      </c>
      <c r="B57" s="12" t="n">
        <v>0</v>
      </c>
      <c r="C57" s="18">
        <f>SUM(C45:C51)</f>
        <v/>
      </c>
      <c r="D57" s="18">
        <f>SUM(D45:D51)</f>
        <v/>
      </c>
      <c r="E57" s="18">
        <f>SUM(E45:E51)</f>
        <v/>
      </c>
      <c r="F57" s="18">
        <f>SUM(F45:F51)</f>
        <v/>
      </c>
      <c r="G57" s="18">
        <f>SUM(G45:G51)</f>
        <v/>
      </c>
      <c r="H57" s="18">
        <f>SUM(H45:H51)</f>
        <v/>
      </c>
      <c r="I57" s="18">
        <f>SUM(I45:I51)</f>
        <v/>
      </c>
    </row>
    <row r="58">
      <c r="A58" s="2" t="inlineStr">
        <is>
          <t>Average AUM</t>
        </is>
      </c>
      <c r="C58" s="18">
        <f>(C56+C57)/2</f>
        <v/>
      </c>
      <c r="D58" s="18">
        <f>(D56+D57)/2</f>
        <v/>
      </c>
      <c r="E58" s="18">
        <f>(E56+E57)/2</f>
        <v/>
      </c>
      <c r="F58" s="18">
        <f>(F56+F57)/2</f>
        <v/>
      </c>
      <c r="G58" s="18">
        <f>(G56+G57)/2</f>
        <v/>
      </c>
      <c r="H58" s="18">
        <f>(H56+H57)/2</f>
        <v/>
      </c>
      <c r="I58" s="18">
        <f>(I56+I57)/2</f>
        <v/>
      </c>
    </row>
    <row r="59">
      <c r="A59" s="6" t="inlineStr">
        <is>
          <t>Net revenue</t>
        </is>
      </c>
      <c r="C59" s="18">
        <f>C58*$B$21/10000</f>
        <v/>
      </c>
      <c r="D59" s="18">
        <f>D58*$B$21/10000</f>
        <v/>
      </c>
      <c r="E59" s="18">
        <f>E58*$B$21/10000</f>
        <v/>
      </c>
      <c r="F59" s="18">
        <f>F58*$B$21/10000</f>
        <v/>
      </c>
      <c r="G59" s="18">
        <f>G58*$B$21/10000</f>
        <v/>
      </c>
      <c r="H59" s="18">
        <f>H58*$B$21/10000</f>
        <v/>
      </c>
      <c r="I59" s="18">
        <f>I58*$B$21/10000</f>
        <v/>
      </c>
    </row>
    <row r="60">
      <c r="A60" s="2" t="inlineStr">
        <is>
          <t>Inflation factor</t>
        </is>
      </c>
      <c r="C60" s="38">
        <f>(1+$B$25)^(C33-1)</f>
        <v/>
      </c>
      <c r="D60" s="38">
        <f>(1+$B$25)^(D33-1)</f>
        <v/>
      </c>
      <c r="E60" s="38">
        <f>(1+$B$25)^(E33-1)</f>
        <v/>
      </c>
      <c r="F60" s="38">
        <f>(1+$B$25)^(F33-1)</f>
        <v/>
      </c>
      <c r="G60" s="38">
        <f>(1+$B$25)^(G33-1)</f>
        <v/>
      </c>
      <c r="H60" s="38">
        <f>(1+$B$25)^(H33-1)</f>
        <v/>
      </c>
      <c r="I60" s="38">
        <f>(1+$B$25)^(I33-1)</f>
        <v/>
      </c>
    </row>
    <row r="61">
      <c r="A61" s="2" t="inlineStr">
        <is>
          <t xml:space="preserve">Compensation (fixed) </t>
        </is>
      </c>
      <c r="C61" s="18">
        <f>(C54*$B$22+C55*$B$23)*$B$9*C60</f>
        <v/>
      </c>
      <c r="D61" s="18">
        <f>(D54*$B$22+D55*$B$23)*$B$9*D60</f>
        <v/>
      </c>
      <c r="E61" s="18">
        <f>(E54*$B$22+E55*$B$23)*$B$9*E60</f>
        <v/>
      </c>
      <c r="F61" s="18">
        <f>(F54*$B$22+F55*$B$23)*$B$9*F60</f>
        <v/>
      </c>
      <c r="G61" s="18">
        <f>(G54*$B$22+G55*$B$23)*$B$9*G60</f>
        <v/>
      </c>
      <c r="H61" s="18">
        <f>(H54*$B$22+H55*$B$23)*$B$9*H60</f>
        <v/>
      </c>
      <c r="I61" s="18">
        <f>(I54*$B$22+I55*$B$23)*$B$9*I60</f>
        <v/>
      </c>
    </row>
    <row r="62">
      <c r="A62" s="2" t="inlineStr">
        <is>
          <t>Variable comp</t>
        </is>
      </c>
      <c r="C62" s="18">
        <f>C59*$B$29</f>
        <v/>
      </c>
      <c r="D62" s="18">
        <f>D59*$B$29</f>
        <v/>
      </c>
      <c r="E62" s="18">
        <f>E59*$B$29</f>
        <v/>
      </c>
      <c r="F62" s="18">
        <f>F59*$B$29</f>
        <v/>
      </c>
      <c r="G62" s="18">
        <f>G59*$B$29</f>
        <v/>
      </c>
      <c r="H62" s="18">
        <f>H59*$B$29</f>
        <v/>
      </c>
      <c r="I62" s="18">
        <f>I59*$B$29</f>
        <v/>
      </c>
    </row>
    <row r="63">
      <c r="A63" s="2" t="inlineStr">
        <is>
          <t>Premises, tech &amp; licence</t>
        </is>
      </c>
      <c r="C63" s="18">
        <f>(C54+C55)*$B$24*$B$9*C60+$B$11</f>
        <v/>
      </c>
      <c r="D63" s="18">
        <f>(D54+D55)*$B$24*$B$9*D60+$B$11</f>
        <v/>
      </c>
      <c r="E63" s="18">
        <f>(E54+E55)*$B$24*$B$9*E60+$B$11</f>
        <v/>
      </c>
      <c r="F63" s="18">
        <f>(F54+F55)*$B$24*$B$9*F60+$B$11</f>
        <v/>
      </c>
      <c r="G63" s="18">
        <f>(G54+G55)*$B$24*$B$9*G60+$B$11</f>
        <v/>
      </c>
      <c r="H63" s="18">
        <f>(H54+H55)*$B$24*$B$9*H60+$B$11</f>
        <v/>
      </c>
      <c r="I63" s="18">
        <f>(I54+I55)*$B$24*$B$9*I60+$B$11</f>
        <v/>
      </c>
    </row>
    <row r="64">
      <c r="A64" s="6" t="inlineStr">
        <is>
          <t>EBITDA</t>
        </is>
      </c>
      <c r="C64" s="18">
        <f>C59-C61-C62-C63</f>
        <v/>
      </c>
      <c r="D64" s="18">
        <f>D59-D61-D62-D63</f>
        <v/>
      </c>
      <c r="E64" s="18">
        <f>E59-E61-E62-E63</f>
        <v/>
      </c>
      <c r="F64" s="18">
        <f>F59-F61-F62-F63</f>
        <v/>
      </c>
      <c r="G64" s="18">
        <f>G59-G61-G62-G63</f>
        <v/>
      </c>
      <c r="H64" s="18">
        <f>H59-H61-H62-H63</f>
        <v/>
      </c>
      <c r="I64" s="18">
        <f>I59-I61-I62-I63</f>
        <v/>
      </c>
    </row>
    <row r="65">
      <c r="A65" s="2" t="inlineStr">
        <is>
          <t>Tax</t>
        </is>
      </c>
      <c r="C65" s="18">
        <f>MAX(C64,0)*$B$12</f>
        <v/>
      </c>
      <c r="D65" s="18">
        <f>MAX(D64,0)*$B$12</f>
        <v/>
      </c>
      <c r="E65" s="18">
        <f>MAX(E64,0)*$B$12</f>
        <v/>
      </c>
      <c r="F65" s="18">
        <f>MAX(F64,0)*$B$12</f>
        <v/>
      </c>
      <c r="G65" s="18">
        <f>MAX(G64,0)*$B$12</f>
        <v/>
      </c>
      <c r="H65" s="18">
        <f>MAX(H64,0)*$B$12</f>
        <v/>
      </c>
      <c r="I65" s="18">
        <f>MAX(I64,0)*$B$12</f>
        <v/>
      </c>
    </row>
    <row r="66">
      <c r="A66" s="6" t="inlineStr">
        <is>
          <t>Free cash flow</t>
        </is>
      </c>
      <c r="B66" s="18">
        <f>-(B10+B26)</f>
        <v/>
      </c>
      <c r="C66" s="18">
        <f>C64-C65</f>
        <v/>
      </c>
      <c r="D66" s="18">
        <f>D64-D65</f>
        <v/>
      </c>
      <c r="E66" s="18">
        <f>E64-E65</f>
        <v/>
      </c>
      <c r="F66" s="18">
        <f>F64-F65</f>
        <v/>
      </c>
      <c r="G66" s="18">
        <f>G64-G65</f>
        <v/>
      </c>
      <c r="H66" s="18">
        <f>H64-H65</f>
        <v/>
      </c>
      <c r="I66" s="18">
        <f>I64-I65+$B$26</f>
        <v/>
      </c>
    </row>
    <row r="67">
      <c r="A67" s="2" t="inlineStr">
        <is>
          <t>Cumulative FCF</t>
        </is>
      </c>
      <c r="B67" s="18">
        <f>B66</f>
        <v/>
      </c>
      <c r="C67" s="18">
        <f>B67+C66</f>
        <v/>
      </c>
      <c r="D67" s="18">
        <f>C67+D66</f>
        <v/>
      </c>
      <c r="E67" s="18">
        <f>D67+E66</f>
        <v/>
      </c>
      <c r="F67" s="18">
        <f>E67+F66</f>
        <v/>
      </c>
      <c r="G67" s="18">
        <f>F67+G66</f>
        <v/>
      </c>
      <c r="H67" s="18">
        <f>G67+H66</f>
        <v/>
      </c>
      <c r="I67" s="18">
        <f>H67+I66</f>
        <v/>
      </c>
    </row>
    <row r="68">
      <c r="A68" s="2" t="inlineStr">
        <is>
          <t>Discount factor</t>
        </is>
      </c>
      <c r="B68" s="12" t="n">
        <v>1</v>
      </c>
      <c r="C68" s="34">
        <f>(1+$B$27)^-C33</f>
        <v/>
      </c>
      <c r="D68" s="34">
        <f>(1+$B$27)^-D33</f>
        <v/>
      </c>
      <c r="E68" s="34">
        <f>(1+$B$27)^-E33</f>
        <v/>
      </c>
      <c r="F68" s="34">
        <f>(1+$B$27)^-F33</f>
        <v/>
      </c>
      <c r="G68" s="34">
        <f>(1+$B$27)^-G33</f>
        <v/>
      </c>
      <c r="H68" s="34">
        <f>(1+$B$27)^-H33</f>
        <v/>
      </c>
      <c r="I68" s="34">
        <f>(1+$B$27)^-I33</f>
        <v/>
      </c>
    </row>
    <row r="69">
      <c r="A69" s="2" t="inlineStr">
        <is>
          <t>Discounted cumulative FCF</t>
        </is>
      </c>
      <c r="B69" s="18">
        <f>B66</f>
        <v/>
      </c>
      <c r="C69" s="18">
        <f>B69+C66*C68</f>
        <v/>
      </c>
      <c r="D69" s="18">
        <f>C69+D66*D68</f>
        <v/>
      </c>
      <c r="E69" s="18">
        <f>D69+E66*E68</f>
        <v/>
      </c>
      <c r="F69" s="18">
        <f>E69+F66*F68</f>
        <v/>
      </c>
      <c r="G69" s="18">
        <f>F69+G66*G68</f>
        <v/>
      </c>
      <c r="H69" s="18">
        <f>G69+H66*H68</f>
        <v/>
      </c>
      <c r="I69" s="18">
        <f>H69+I66*I68</f>
        <v/>
      </c>
    </row>
    <row r="70">
      <c r="A70" s="2" t="inlineStr">
        <is>
          <t>Payback crossing (year)</t>
        </is>
      </c>
      <c r="C70" s="22">
        <f>IF(AND(B67&lt;0,C67&gt;=0),C33-1+(-B67)/(C67-B67),"")</f>
        <v/>
      </c>
      <c r="D70" s="22">
        <f>IF(AND(C67&lt;0,D67&gt;=0),D33-1+(-C67)/(D67-C67),"")</f>
        <v/>
      </c>
      <c r="E70" s="22">
        <f>IF(AND(D67&lt;0,E67&gt;=0),E33-1+(-D67)/(E67-D67),"")</f>
        <v/>
      </c>
      <c r="F70" s="22">
        <f>IF(AND(E67&lt;0,F67&gt;=0),F33-1+(-E67)/(F67-E67),"")</f>
        <v/>
      </c>
      <c r="G70" s="22">
        <f>IF(AND(F67&lt;0,G67&gt;=0),G33-1+(-F67)/(G67-F67),"")</f>
        <v/>
      </c>
      <c r="H70" s="22">
        <f>IF(AND(G67&lt;0,H67&gt;=0),H33-1+(-G67)/(H67-G67),"")</f>
        <v/>
      </c>
      <c r="I70" s="22">
        <f>IF(AND(H67&lt;0,I67&gt;=0),I33-1+(-H67)/(I67-H67),"")</f>
        <v/>
      </c>
    </row>
    <row r="71">
      <c r="A71" s="2" t="inlineStr">
        <is>
          <t>Discounted payback crossing</t>
        </is>
      </c>
      <c r="C71" s="22">
        <f>IF(AND(B69&lt;0,C69&gt;=0),C33-1+(-B69)/(C69-B69),"")</f>
        <v/>
      </c>
      <c r="D71" s="22">
        <f>IF(AND(C69&lt;0,D69&gt;=0),D33-1+(-C69)/(D69-C69),"")</f>
        <v/>
      </c>
      <c r="E71" s="22">
        <f>IF(AND(D69&lt;0,E69&gt;=0),E33-1+(-D69)/(E69-D69),"")</f>
        <v/>
      </c>
      <c r="F71" s="22">
        <f>IF(AND(E69&lt;0,F69&gt;=0),F33-1+(-E69)/(F69-E69),"")</f>
        <v/>
      </c>
      <c r="G71" s="22">
        <f>IF(AND(F69&lt;0,G69&gt;=0),G33-1+(-F69)/(G69-F69),"")</f>
        <v/>
      </c>
      <c r="H71" s="22">
        <f>IF(AND(G69&lt;0,H69&gt;=0),H33-1+(-G69)/(H69-G69),"")</f>
        <v/>
      </c>
      <c r="I71" s="22">
        <f>IF(AND(H69&lt;0,I69&gt;=0),I33-1+(-H69)/(I69-H69),"")</f>
        <v/>
      </c>
    </row>
    <row r="72">
      <c r="A72" s="2" t="inlineStr">
        <is>
          <t>EBITDA &gt; 0 flag</t>
        </is>
      </c>
      <c r="C72" s="2">
        <f>IF(C64&gt;0,1,0)</f>
        <v/>
      </c>
      <c r="D72" s="2">
        <f>IF(D64&gt;0,1,0)</f>
        <v/>
      </c>
      <c r="E72" s="2">
        <f>IF(E64&gt;0,1,0)</f>
        <v/>
      </c>
      <c r="F72" s="2">
        <f>IF(F64&gt;0,1,0)</f>
        <v/>
      </c>
      <c r="G72" s="2">
        <f>IF(G64&gt;0,1,0)</f>
        <v/>
      </c>
      <c r="H72" s="2">
        <f>IF(H64&gt;0,1,0)</f>
        <v/>
      </c>
      <c r="I72" s="2">
        <f>IF(I64&gt;0,1,0)</f>
        <v/>
      </c>
    </row>
    <row r="74">
      <c r="A74" s="24" t="inlineStr">
        <is>
          <t>Valuation outputs</t>
        </is>
      </c>
      <c r="B74" s="25" t="n"/>
      <c r="C74" s="25" t="n"/>
      <c r="D74" s="25" t="n"/>
      <c r="E74" s="25" t="n"/>
      <c r="F74" s="25" t="n"/>
      <c r="G74" s="25" t="n"/>
      <c r="H74" s="25" t="n"/>
      <c r="I74" s="25" t="n"/>
    </row>
    <row r="75">
      <c r="A75" s="2" t="inlineStr">
        <is>
          <t>Terminal value (Gordon growth, year 7)</t>
        </is>
      </c>
      <c r="B75" s="18">
        <f>(I64-I65)*(1+B28)/(B27-B28)</f>
        <v/>
      </c>
    </row>
    <row r="76">
      <c r="A76" s="2" t="inlineStr">
        <is>
          <t>NPV explicit period ($m)</t>
        </is>
      </c>
      <c r="B76" s="18">
        <f>B66+NPV(B27,C66:I66)</f>
        <v/>
      </c>
    </row>
    <row r="77">
      <c r="A77" s="6" t="inlineStr">
        <is>
          <t>NPV incl. terminal value ($m)</t>
        </is>
      </c>
      <c r="B77" s="18">
        <f>B76+B75/(1+B27)^7</f>
        <v/>
      </c>
    </row>
    <row r="78">
      <c r="A78" s="6" t="inlineStr">
        <is>
          <t>IRR incl. terminal value</t>
        </is>
      </c>
      <c r="B78" s="21">
        <f>IRR(B79:I79)</f>
        <v/>
      </c>
    </row>
    <row r="79">
      <c r="A79" s="2" t="inlineStr">
        <is>
          <t>FCF stream incl. terminal value (for IRR)</t>
        </is>
      </c>
      <c r="B79" s="18">
        <f>B66</f>
        <v/>
      </c>
      <c r="C79" s="18">
        <f>C66</f>
        <v/>
      </c>
      <c r="D79" s="18">
        <f>D66</f>
        <v/>
      </c>
      <c r="E79" s="18">
        <f>E66</f>
        <v/>
      </c>
      <c r="F79" s="18">
        <f>F66</f>
        <v/>
      </c>
      <c r="G79" s="18">
        <f>G66</f>
        <v/>
      </c>
      <c r="H79" s="18">
        <f>H66</f>
        <v/>
      </c>
      <c r="I79" s="18">
        <f>I66+B75</f>
        <v/>
      </c>
    </row>
    <row r="80">
      <c r="A80" s="2" t="inlineStr">
        <is>
          <t>Payback (years)</t>
        </is>
      </c>
      <c r="B80" s="22">
        <f>IF(COUNT(C70:I70)=0,"n/a",MIN(C70:I70))</f>
        <v/>
      </c>
    </row>
    <row r="81">
      <c r="A81" s="2" t="inlineStr">
        <is>
          <t>Discounted payback (years)</t>
        </is>
      </c>
      <c r="B81" s="22">
        <f>IF(COUNT(C71:I71)=0,"n/a",MIN(C71:I71))</f>
        <v/>
      </c>
    </row>
    <row r="82">
      <c r="A82" s="2" t="inlineStr">
        <is>
          <t>Break-even year (first EBITDA &gt; 0)</t>
        </is>
      </c>
      <c r="B82" s="39">
        <f>IF(SUM(C72:I72)=0,"n/a",MATCH(1,C72:I72,0))</f>
        <v/>
      </c>
    </row>
    <row r="83">
      <c r="A83" s="2" t="inlineStr">
        <is>
          <t>Peak funding requirement ($m)</t>
        </is>
      </c>
      <c r="B83" s="18">
        <f>-MIN(B67:I67)</f>
        <v/>
      </c>
    </row>
    <row r="84">
      <c r="A84" s="2" t="inlineStr">
        <is>
          <t>Share of NPV from terminal value</t>
        </is>
      </c>
      <c r="B84" s="40">
        <f>1-B76/B77</f>
        <v/>
      </c>
    </row>
  </sheetData>
  <dataValidations count="1">
    <dataValidation sqref="B2" showDropDown="0" showInputMessage="0" showErrorMessage="0" allowBlank="0" type="list">
      <formula1>"DIFC,KAFD,ADGM"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6" t="inlineStr">
        <is>
          <t>First-order sensitivity of Year-2 Q4 (t8) pre-tax earnings to fee yield and equity-market shock ($m)</t>
        </is>
      </c>
    </row>
    <row r="2">
      <c r="A2" s="2" t="inlineStr">
        <is>
          <t>Approximation: dRev = fees x dYield + shock x sum(fees_k x beta_k); dPreTax = dRev x (1 - comp ratio - variable non-comp). Valid while the comp floor is not binding.</t>
        </is>
      </c>
    </row>
    <row r="4">
      <c r="A4" s="2" t="inlineStr">
        <is>
          <t>Pre-tax t8 (model)</t>
        </is>
      </c>
      <c r="B4" s="30">
        <f>PnL!J10</f>
        <v/>
      </c>
    </row>
    <row r="5">
      <c r="A5" s="2" t="inlineStr">
        <is>
          <t>Management fees t8</t>
        </is>
      </c>
      <c r="B5" s="30">
        <f>Revenue!J17</f>
        <v/>
      </c>
    </row>
    <row r="6">
      <c r="A6" s="2" t="inlineStr">
        <is>
          <t>Equity-beta-weighted fees t8</t>
        </is>
      </c>
      <c r="B6" s="30">
        <f>Revenue!J7*Inputs!F13+Revenue!J10*Inputs!F14+Revenue!J13*Inputs!F15+Revenue!J16*Inputs!F16</f>
        <v/>
      </c>
    </row>
    <row r="7">
      <c r="A7" s="2" t="inlineStr">
        <is>
          <t>Pre-tax flow-through (1 - comp ratio - variable non-comp)</t>
        </is>
      </c>
      <c r="B7" s="41">
        <f>1-Inputs!B19-Inputs!B21</f>
        <v/>
      </c>
    </row>
    <row r="9">
      <c r="A9" s="7" t="inlineStr">
        <is>
          <t>Fee-yield change  \  equity shock</t>
        </is>
      </c>
      <c r="B9" s="42" t="n">
        <v>-0.2</v>
      </c>
      <c r="C9" s="42" t="n">
        <v>-0.1</v>
      </c>
      <c r="D9" s="42" t="n">
        <v>0</v>
      </c>
      <c r="E9" s="42" t="n">
        <v>0.1</v>
      </c>
      <c r="F9" s="42" t="n">
        <v>0.2</v>
      </c>
    </row>
    <row r="10">
      <c r="A10" s="16" t="n">
        <v>-0.1</v>
      </c>
      <c r="B10" s="18">
        <f>$B$4+($B$5*$A10+B$9*$B$6)*$B$7</f>
        <v/>
      </c>
      <c r="C10" s="18">
        <f>$B$4+($B$5*$A10+C$9*$B$6)*$B$7</f>
        <v/>
      </c>
      <c r="D10" s="18">
        <f>$B$4+($B$5*$A10+D$9*$B$6)*$B$7</f>
        <v/>
      </c>
      <c r="E10" s="18">
        <f>$B$4+($B$5*$A10+E$9*$B$6)*$B$7</f>
        <v/>
      </c>
      <c r="F10" s="18">
        <f>$B$4+($B$5*$A10+F$9*$B$6)*$B$7</f>
        <v/>
      </c>
    </row>
    <row r="11">
      <c r="A11" s="16" t="n">
        <v>-0.05</v>
      </c>
      <c r="B11" s="18">
        <f>$B$4+($B$5*$A11+B$9*$B$6)*$B$7</f>
        <v/>
      </c>
      <c r="C11" s="18">
        <f>$B$4+($B$5*$A11+C$9*$B$6)*$B$7</f>
        <v/>
      </c>
      <c r="D11" s="18">
        <f>$B$4+($B$5*$A11+D$9*$B$6)*$B$7</f>
        <v/>
      </c>
      <c r="E11" s="18">
        <f>$B$4+($B$5*$A11+E$9*$B$6)*$B$7</f>
        <v/>
      </c>
      <c r="F11" s="18">
        <f>$B$4+($B$5*$A11+F$9*$B$6)*$B$7</f>
        <v/>
      </c>
    </row>
    <row r="12">
      <c r="A12" s="16" t="n">
        <v>0</v>
      </c>
      <c r="B12" s="18">
        <f>$B$4+($B$5*$A12+B$9*$B$6)*$B$7</f>
        <v/>
      </c>
      <c r="C12" s="18">
        <f>$B$4+($B$5*$A12+C$9*$B$6)*$B$7</f>
        <v/>
      </c>
      <c r="D12" s="18">
        <f>$B$4+($B$5*$A12+D$9*$B$6)*$B$7</f>
        <v/>
      </c>
      <c r="E12" s="18">
        <f>$B$4+($B$5*$A12+E$9*$B$6)*$B$7</f>
        <v/>
      </c>
      <c r="F12" s="18">
        <f>$B$4+($B$5*$A12+F$9*$B$6)*$B$7</f>
        <v/>
      </c>
    </row>
    <row r="13">
      <c r="A13" s="16" t="n">
        <v>0.05</v>
      </c>
      <c r="B13" s="18">
        <f>$B$4+($B$5*$A13+B$9*$B$6)*$B$7</f>
        <v/>
      </c>
      <c r="C13" s="18">
        <f>$B$4+($B$5*$A13+C$9*$B$6)*$B$7</f>
        <v/>
      </c>
      <c r="D13" s="18">
        <f>$B$4+($B$5*$A13+D$9*$B$6)*$B$7</f>
        <v/>
      </c>
      <c r="E13" s="18">
        <f>$B$4+($B$5*$A13+E$9*$B$6)*$B$7</f>
        <v/>
      </c>
      <c r="F13" s="18">
        <f>$B$4+($B$5*$A13+F$9*$B$6)*$B$7</f>
        <v/>
      </c>
    </row>
    <row r="14">
      <c r="A14" s="16" t="n">
        <v>0.1</v>
      </c>
      <c r="B14" s="18">
        <f>$B$4+($B$5*$A14+B$9*$B$6)*$B$7</f>
        <v/>
      </c>
      <c r="C14" s="18">
        <f>$B$4+($B$5*$A14+C$9*$B$6)*$B$7</f>
        <v/>
      </c>
      <c r="D14" s="18">
        <f>$B$4+($B$5*$A14+D$9*$B$6)*$B$7</f>
        <v/>
      </c>
      <c r="E14" s="18">
        <f>$B$4+($B$5*$A14+E$9*$B$6)*$B$7</f>
        <v/>
      </c>
      <c r="F14" s="18">
        <f>$B$4+($B$5*$A14+F$9*$B$6)*$B$7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Peer benchmarks - latest quarter with data, trailing-four-quarter basis. Pasted from the warehouse (mart_peer_benchmark).</t>
        </is>
      </c>
    </row>
    <row r="3">
      <c r="A3" s="7" t="inlineStr">
        <is>
          <t>Ticker</t>
        </is>
      </c>
      <c r="B3" s="7" t="inlineStr">
        <is>
          <t>Period</t>
        </is>
      </c>
      <c r="C3" s="7" t="inlineStr">
        <is>
          <t>AUM/AUS $m</t>
        </is>
      </c>
      <c r="D3" s="7" t="inlineStr">
        <is>
          <t>Fee yield T4Q (bps)</t>
        </is>
      </c>
      <c r="E3" s="7" t="inlineStr">
        <is>
          <t>Organic growth T4Q</t>
        </is>
      </c>
      <c r="F3" s="7" t="inlineStr">
        <is>
          <t>Op margin T4Q</t>
        </is>
      </c>
      <c r="G3" s="7" t="inlineStr">
        <is>
          <t>Comp ratio T4Q</t>
        </is>
      </c>
      <c r="H3" s="7" t="inlineStr">
        <is>
          <t>z fee yield</t>
        </is>
      </c>
      <c r="I3" s="7" t="inlineStr">
        <is>
          <t>z organic</t>
        </is>
      </c>
      <c r="J3" s="7" t="inlineStr">
        <is>
          <t>z margin</t>
        </is>
      </c>
    </row>
    <row r="4">
      <c r="A4" s="2" t="inlineStr">
        <is>
          <t>BEN</t>
        </is>
      </c>
      <c r="B4" s="12" t="inlineStr">
        <is>
          <t>2026-06-30</t>
        </is>
      </c>
      <c r="C4" s="9" t="n">
        <v>1791600</v>
      </c>
      <c r="D4" s="36" t="n">
        <v>43.78678971810572</v>
      </c>
      <c r="E4" s="11" t="n">
        <v>0.03834222608264053</v>
      </c>
      <c r="G4" s="11" t="n">
        <v>0.4246629701526153</v>
      </c>
      <c r="H4" s="22">
        <f>IF(ISNUMBER(D4),(D4-AVERAGE(D$4:D$10))/STDEV(D$4:D$10),"")</f>
        <v/>
      </c>
      <c r="I4" s="22">
        <f>IF(ISNUMBER(E4),(E4-AVERAGE(E$4:E$10))/STDEV(E$4:E$10),"")</f>
        <v/>
      </c>
      <c r="J4" s="22">
        <f>IF(ISNUMBER(F4),(F4-AVERAGE(F$4:F$10))/STDEV(F$4:F$10),"")</f>
        <v/>
      </c>
    </row>
    <row r="5">
      <c r="A5" s="2" t="inlineStr">
        <is>
          <t>BLK</t>
        </is>
      </c>
      <c r="B5" s="12" t="inlineStr">
        <is>
          <t>2026-09-30</t>
        </is>
      </c>
      <c r="C5" s="9" t="n">
        <v>15488263</v>
      </c>
      <c r="D5" s="36" t="n">
        <v>15.56737517800104</v>
      </c>
      <c r="E5" s="11" t="n">
        <v>0.06451464594416437</v>
      </c>
      <c r="F5" s="11" t="n">
        <v>0.3245743115408871</v>
      </c>
      <c r="G5" s="11" t="n">
        <v>0.3336486581178614</v>
      </c>
      <c r="H5" s="22">
        <f>IF(ISNUMBER(D5),(D5-AVERAGE(D$4:D$10))/STDEV(D$4:D$10),"")</f>
        <v/>
      </c>
      <c r="I5" s="22">
        <f>IF(ISNUMBER(E5),(E5-AVERAGE(E$4:E$10))/STDEV(E$4:E$10),"")</f>
        <v/>
      </c>
      <c r="J5" s="22">
        <f>IF(ISNUMBER(F5),(F5-AVERAGE(F$4:F$10))/STDEV(F$4:F$10),"")</f>
        <v/>
      </c>
    </row>
    <row r="6">
      <c r="A6" s="2" t="inlineStr">
        <is>
          <t>GS</t>
        </is>
      </c>
      <c r="B6" s="12" t="inlineStr">
        <is>
          <t>2026-09-30</t>
        </is>
      </c>
      <c r="C6" s="9" t="n">
        <v>4097000</v>
      </c>
      <c r="D6" s="36" t="n">
        <v>34.7782237998872</v>
      </c>
      <c r="E6" s="11" t="n">
        <v>0.1494785631517961</v>
      </c>
      <c r="H6" s="22">
        <f>IF(ISNUMBER(D6),(D6-AVERAGE(D$4:D$10))/STDEV(D$4:D$10),"")</f>
        <v/>
      </c>
      <c r="I6" s="22">
        <f>IF(ISNUMBER(E6),(E6-AVERAGE(E$4:E$10))/STDEV(E$4:E$10),"")</f>
        <v/>
      </c>
      <c r="J6" s="22">
        <f>IF(ISNUMBER(F6),(F6-AVERAGE(F$4:F$10))/STDEV(F$4:F$10),"")</f>
        <v/>
      </c>
    </row>
    <row r="7">
      <c r="A7" s="2" t="inlineStr">
        <is>
          <t>IVZ</t>
        </is>
      </c>
      <c r="B7" s="12" t="inlineStr">
        <is>
          <t>2026-06-30</t>
        </is>
      </c>
      <c r="C7" s="9" t="n">
        <v>2470300</v>
      </c>
      <c r="D7" s="36" t="n">
        <v>23.8735967491118</v>
      </c>
      <c r="E7" s="11" t="n">
        <v>0.0762466273608474</v>
      </c>
      <c r="G7" s="11" t="n">
        <v>0.3023831944947483</v>
      </c>
      <c r="H7" s="22">
        <f>IF(ISNUMBER(D7),(D7-AVERAGE(D$4:D$10))/STDEV(D$4:D$10),"")</f>
        <v/>
      </c>
      <c r="I7" s="22">
        <f>IF(ISNUMBER(E7),(E7-AVERAGE(E$4:E$10))/STDEV(E$4:E$10),"")</f>
        <v/>
      </c>
      <c r="J7" s="22">
        <f>IF(ISNUMBER(F7),(F7-AVERAGE(F$4:F$10))/STDEV(F$4:F$10),"")</f>
        <v/>
      </c>
    </row>
    <row r="8">
      <c r="A8" s="2" t="inlineStr">
        <is>
          <t>JPM</t>
        </is>
      </c>
      <c r="B8" s="12" t="inlineStr">
        <is>
          <t>2026-06-30</t>
        </is>
      </c>
      <c r="C8" s="9" t="n">
        <v>5140000</v>
      </c>
      <c r="D8" s="36" t="n">
        <v>35.11323696519649</v>
      </c>
      <c r="E8" s="11" t="n">
        <v>0.0932535113976514</v>
      </c>
      <c r="F8" s="11" t="n">
        <v>0.3680009299802379</v>
      </c>
      <c r="G8" s="11" t="n">
        <v>0.3525400085248189</v>
      </c>
      <c r="H8" s="22">
        <f>IF(ISNUMBER(D8),(D8-AVERAGE(D$4:D$10))/STDEV(D$4:D$10),"")</f>
        <v/>
      </c>
      <c r="I8" s="22">
        <f>IF(ISNUMBER(E8),(E8-AVERAGE(E$4:E$10))/STDEV(E$4:E$10),"")</f>
        <v/>
      </c>
      <c r="J8" s="22">
        <f>IF(ISNUMBER(F8),(F8-AVERAGE(F$4:F$10))/STDEV(F$4:F$10),"")</f>
        <v/>
      </c>
    </row>
    <row r="9">
      <c r="A9" s="2" t="inlineStr">
        <is>
          <t>MS</t>
        </is>
      </c>
      <c r="B9" s="12" t="inlineStr">
        <is>
          <t>2026-06-30</t>
        </is>
      </c>
      <c r="C9" s="9" t="n">
        <v>2004000</v>
      </c>
      <c r="D9" s="36" t="n">
        <v>33.35801305781786</v>
      </c>
      <c r="E9" s="11" t="n">
        <v>0.1009924109748978</v>
      </c>
      <c r="F9" s="11" t="n">
        <v>0.2313797313797314</v>
      </c>
      <c r="G9" s="11" t="n">
        <v>0.3646214896214896</v>
      </c>
      <c r="H9" s="22">
        <f>IF(ISNUMBER(D9),(D9-AVERAGE(D$4:D$10))/STDEV(D$4:D$10),"")</f>
        <v/>
      </c>
      <c r="I9" s="22">
        <f>IF(ISNUMBER(E9),(E9-AVERAGE(E$4:E$10))/STDEV(E$4:E$10),"")</f>
        <v/>
      </c>
      <c r="J9" s="22">
        <f>IF(ISNUMBER(F9),(F9-AVERAGE(F$4:F$10))/STDEV(F$4:F$10),"")</f>
        <v/>
      </c>
    </row>
    <row r="10">
      <c r="A10" s="2" t="inlineStr">
        <is>
          <t>TROW</t>
        </is>
      </c>
      <c r="B10" s="12" t="inlineStr">
        <is>
          <t>2026-06-30</t>
        </is>
      </c>
      <c r="C10" s="9" t="n">
        <v>1893400</v>
      </c>
      <c r="D10" s="36" t="n">
        <v>38.60953693417518</v>
      </c>
      <c r="E10" s="11" t="n">
        <v>-0.03196564885496183</v>
      </c>
      <c r="F10" s="11" t="n">
        <v>0.3075869336143309</v>
      </c>
      <c r="G10" s="11" t="n">
        <v>0.3897523709167545</v>
      </c>
      <c r="H10" s="22">
        <f>IF(ISNUMBER(D10),(D10-AVERAGE(D$4:D$10))/STDEV(D$4:D$10),"")</f>
        <v/>
      </c>
      <c r="I10" s="22">
        <f>IF(ISNUMBER(E10),(E10-AVERAGE(E$4:E$10))/STDEV(E$4:E$10),"")</f>
        <v/>
      </c>
      <c r="J10" s="22">
        <f>IF(ISNUMBER(F10),(F10-AVERAGE(F$4:F$10))/STDEV(F$4:F$10),"")</f>
        <v/>
      </c>
    </row>
    <row r="13">
      <c r="A13" s="2" t="inlineStr">
        <is>
          <t>Comparability: see warehouse table comparability_flags. GS = AWM segment/AUS; BLK = whole firm, residual market; IVZ gross fees; margins are GAAP-operating.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6" t="inlineStr">
        <is>
          <t>Model integrity checks - every value must be 0</t>
        </is>
      </c>
    </row>
    <row r="3">
      <c r="A3" s="7" t="inlineStr">
        <is>
          <t>Check</t>
        </is>
      </c>
      <c r="B3" s="7" t="inlineStr">
        <is>
          <t>Value (0 = pass)</t>
        </is>
      </c>
    </row>
    <row r="4">
      <c r="A4" s="2" t="inlineStr">
        <is>
          <t>AUS roll-forward closes in every quarter</t>
        </is>
      </c>
      <c r="B4" s="43">
        <f>SUMPRODUCT(ABS(AUM_Rollforward!C35:J35-AUM_Rollforward!C32:J32-AUM_Rollforward!C33:J33-AUM_Rollforward!C34:J34))</f>
        <v/>
      </c>
    </row>
    <row r="5">
      <c r="A5" s="2" t="inlineStr">
        <is>
          <t>Fee-yield calibration reproduces base-quarter fees</t>
        </is>
      </c>
      <c r="B5" s="43">
        <f>ABS(Inputs!B4-SUMPRODUCT(Inputs!I13:I16,Inputs!J13:J16)/4)</f>
        <v/>
      </c>
    </row>
    <row r="6">
      <c r="A6" s="2" t="inlineStr">
        <is>
          <t>Net revenue = fees + incentive + PBL + investments</t>
        </is>
      </c>
      <c r="B6" s="43">
        <f>SUMPRODUCT(ABS(Revenue!C22:J22-Revenue!C17:J17-Revenue!C19:J19-Revenue!C20:J20-Revenue!C21:J21))</f>
        <v/>
      </c>
    </row>
    <row r="7">
      <c r="A7" s="2" t="inlineStr">
        <is>
          <t>Pre-tax = revenue - comp - non-comp - provision</t>
        </is>
      </c>
      <c r="B7" s="43">
        <f>SUMPRODUCT(ABS(PnL!C10:J10-PnL!C5:J5+Expenses!C8:J8))</f>
        <v/>
      </c>
    </row>
    <row r="8">
      <c r="A8" s="2" t="inlineStr">
        <is>
          <t>Costs are non-negative (sign convention)</t>
        </is>
      </c>
      <c r="B8" s="43">
        <f>SUMPRODUCT(--(Expenses!C5:J8&lt;0))</f>
        <v/>
      </c>
    </row>
    <row r="9">
      <c r="A9" s="2" t="inlineStr">
        <is>
          <t>Compensation never below the fixed floor</t>
        </is>
      </c>
      <c r="B9" s="43">
        <f>SUMPRODUCT(--(Expenses!C5:J5&lt;Inputs!B28-0.000001))</f>
        <v/>
      </c>
    </row>
    <row r="10">
      <c r="A10" s="2" t="inlineStr">
        <is>
          <t>Price-volume-mix effects sum to the fee change</t>
        </is>
      </c>
      <c r="B10" s="43">
        <f>ABS(Budget_Variance!B30-Budget_Variance!B31)</f>
        <v/>
      </c>
    </row>
    <row r="11">
      <c r="A11" s="2" t="inlineStr">
        <is>
          <t>Fully allocated pre-tax reconciles to the public segment</t>
        </is>
      </c>
      <c r="B11" s="43">
        <f>ABS(Profitability!B14)</f>
        <v/>
      </c>
    </row>
    <row r="12">
      <c r="A12" s="2" t="inlineStr">
        <is>
          <t>Mandate: profit is zero at the year-1 marginal break-even fee</t>
        </is>
      </c>
      <c r="B12" s="43">
        <f>ABS(Mandate_Pricing!B54*Mandate_Pricing!C33*(1-Mandate_Pricing!B16)-Mandate_Pricing!C48)</f>
        <v/>
      </c>
    </row>
    <row r="13">
      <c r="A13" s="2" t="inlineStr">
        <is>
          <t>Mandate: profit is zero at the year-1 fully allocated break-even fee</t>
        </is>
      </c>
      <c r="B13" s="43">
        <f>ABS(Mandate_Pricing!B55*Mandate_Pricing!C33*(1-Mandate_Pricing!B16)-Mandate_Pricing!C48-Mandate_Pricing!C41)</f>
        <v/>
      </c>
    </row>
    <row r="14">
      <c r="A14" s="2" t="inlineStr">
        <is>
          <t>Growth case: NPV at the IRR is zero</t>
        </is>
      </c>
      <c r="B14" s="43">
        <f>ABS(Growth_Case!B66+NPV(Growth_Case!B78,Growth_Case!C79:I79))</f>
        <v/>
      </c>
    </row>
    <row r="15">
      <c r="A15" s="2" t="inlineStr">
        <is>
          <t>Scenario selector is a valid scenario name</t>
        </is>
      </c>
      <c r="B15" s="43">
        <f>IF(COUNTIF(Scenarios!A20:A59,Scenarios!B2)&gt;0,0,1)</f>
        <v/>
      </c>
    </row>
    <row r="16">
      <c r="A16" s="2" t="inlineStr">
        <is>
          <t>Growth-case location is valid</t>
        </is>
      </c>
      <c r="B16" s="43">
        <f>IF(COUNTIF(Growth_Case!A5:A7,Growth_Case!B2)&gt;0,0,1)</f>
        <v/>
      </c>
    </row>
    <row r="18">
      <c r="A18" s="2" t="inlineStr">
        <is>
          <t>Number of checks</t>
        </is>
      </c>
      <c r="B18" s="12" t="n">
        <v>13</v>
      </c>
    </row>
    <row r="19">
      <c r="A19" s="6" t="inlineStr">
        <is>
          <t>Sum of absolute check values</t>
        </is>
      </c>
      <c r="B19" s="44">
        <f>SUMPRODUCT(ABS(B4:B16))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2026-10-21T12:50:39Z</dcterms:created>
  <dcterms:modified xmlns:dcterms="http://purl.org/dc/terms/" xmlns:xsi="http://www.w3.org/2001/XMLSchema-instance" xsi:type="dcterms:W3CDTF">2026-10-21T12:50:39Z</dcterms:modified>
</cp:coreProperties>
</file>